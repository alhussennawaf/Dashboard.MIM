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oiksa-my.sharepoint.com/personal/a_algailan_mim_gov_sa/Documents/Abeer/بيانات التعليم/"/>
    </mc:Choice>
  </mc:AlternateContent>
  <xr:revisionPtr revIDLastSave="0" documentId="8_{E159CCC3-23B2-4FDD-997B-975419891C3E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1" i="1" l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I123" i="1"/>
  <c r="N122" i="1"/>
  <c r="I122" i="1"/>
  <c r="N121" i="1"/>
  <c r="I121" i="1"/>
  <c r="N120" i="1"/>
  <c r="I120" i="1"/>
  <c r="N119" i="1"/>
  <c r="I119" i="1"/>
  <c r="N118" i="1"/>
  <c r="I118" i="1"/>
  <c r="N117" i="1"/>
  <c r="I117" i="1"/>
  <c r="N116" i="1"/>
  <c r="I116" i="1"/>
  <c r="N115" i="1"/>
  <c r="I115" i="1"/>
  <c r="N114" i="1"/>
  <c r="I114" i="1"/>
  <c r="N113" i="1"/>
  <c r="I113" i="1"/>
  <c r="N112" i="1"/>
  <c r="I112" i="1"/>
  <c r="N111" i="1"/>
  <c r="I111" i="1"/>
  <c r="N110" i="1"/>
  <c r="I110" i="1"/>
  <c r="N109" i="1"/>
  <c r="I109" i="1"/>
  <c r="N108" i="1"/>
  <c r="I108" i="1"/>
  <c r="N107" i="1"/>
  <c r="I107" i="1"/>
  <c r="N106" i="1"/>
  <c r="I106" i="1"/>
  <c r="N105" i="1"/>
  <c r="I105" i="1"/>
  <c r="N104" i="1"/>
  <c r="I104" i="1"/>
  <c r="N103" i="1"/>
  <c r="I103" i="1"/>
  <c r="N102" i="1"/>
  <c r="I102" i="1"/>
  <c r="N101" i="1"/>
  <c r="I101" i="1"/>
  <c r="N100" i="1"/>
  <c r="I100" i="1"/>
  <c r="N99" i="1"/>
  <c r="I99" i="1"/>
  <c r="N98" i="1"/>
  <c r="I98" i="1"/>
  <c r="N97" i="1"/>
  <c r="I97" i="1"/>
  <c r="D97" i="1"/>
  <c r="N96" i="1"/>
  <c r="I96" i="1"/>
  <c r="D96" i="1"/>
  <c r="N95" i="1"/>
  <c r="I95" i="1"/>
  <c r="D95" i="1"/>
  <c r="N94" i="1"/>
  <c r="I94" i="1"/>
  <c r="D94" i="1"/>
  <c r="N93" i="1"/>
  <c r="I93" i="1"/>
  <c r="D93" i="1"/>
  <c r="N92" i="1"/>
  <c r="I92" i="1"/>
  <c r="D92" i="1"/>
  <c r="N91" i="1"/>
  <c r="I91" i="1"/>
  <c r="D91" i="1"/>
  <c r="N90" i="1"/>
  <c r="I90" i="1"/>
  <c r="D90" i="1"/>
  <c r="N89" i="1"/>
  <c r="I89" i="1"/>
  <c r="D89" i="1"/>
  <c r="N88" i="1"/>
  <c r="I88" i="1"/>
  <c r="D88" i="1"/>
  <c r="N87" i="1"/>
  <c r="I87" i="1"/>
  <c r="D87" i="1"/>
  <c r="N86" i="1"/>
  <c r="I86" i="1"/>
  <c r="D86" i="1"/>
  <c r="N85" i="1"/>
  <c r="I85" i="1"/>
  <c r="D85" i="1"/>
  <c r="N84" i="1"/>
  <c r="I84" i="1"/>
  <c r="D84" i="1"/>
  <c r="N83" i="1"/>
  <c r="I83" i="1"/>
  <c r="D83" i="1"/>
  <c r="N82" i="1"/>
  <c r="I82" i="1"/>
  <c r="D82" i="1"/>
  <c r="N81" i="1"/>
  <c r="I81" i="1"/>
  <c r="D81" i="1"/>
  <c r="N80" i="1"/>
  <c r="I80" i="1"/>
  <c r="D80" i="1"/>
  <c r="N79" i="1"/>
  <c r="I79" i="1"/>
  <c r="D79" i="1"/>
  <c r="N78" i="1"/>
  <c r="I78" i="1"/>
  <c r="D78" i="1"/>
  <c r="N77" i="1"/>
  <c r="I77" i="1"/>
  <c r="D77" i="1"/>
  <c r="N76" i="1"/>
  <c r="I76" i="1"/>
  <c r="D76" i="1"/>
  <c r="N75" i="1"/>
  <c r="I75" i="1"/>
  <c r="D75" i="1"/>
  <c r="N74" i="1"/>
  <c r="I74" i="1"/>
  <c r="D74" i="1"/>
  <c r="N73" i="1"/>
  <c r="I73" i="1"/>
  <c r="D73" i="1"/>
  <c r="N72" i="1"/>
  <c r="I72" i="1"/>
  <c r="D72" i="1"/>
  <c r="N71" i="1"/>
  <c r="I71" i="1"/>
  <c r="D71" i="1"/>
  <c r="N70" i="1"/>
  <c r="I70" i="1"/>
  <c r="D70" i="1"/>
  <c r="N69" i="1"/>
  <c r="I69" i="1"/>
  <c r="D69" i="1"/>
  <c r="N68" i="1"/>
  <c r="I68" i="1"/>
  <c r="D68" i="1"/>
  <c r="N67" i="1"/>
  <c r="I67" i="1"/>
  <c r="D67" i="1"/>
  <c r="N66" i="1"/>
  <c r="I66" i="1"/>
  <c r="D66" i="1"/>
  <c r="N65" i="1"/>
  <c r="I65" i="1"/>
  <c r="D65" i="1"/>
  <c r="S64" i="1"/>
  <c r="N64" i="1"/>
  <c r="I64" i="1"/>
  <c r="D64" i="1"/>
  <c r="S63" i="1"/>
  <c r="N63" i="1"/>
  <c r="I63" i="1"/>
  <c r="D63" i="1"/>
  <c r="S62" i="1"/>
  <c r="N62" i="1"/>
  <c r="I62" i="1"/>
  <c r="D62" i="1"/>
  <c r="S61" i="1"/>
  <c r="N61" i="1"/>
  <c r="I61" i="1"/>
  <c r="D61" i="1"/>
  <c r="S60" i="1"/>
  <c r="N60" i="1"/>
  <c r="I60" i="1"/>
  <c r="D60" i="1"/>
  <c r="S59" i="1"/>
  <c r="N59" i="1"/>
  <c r="I59" i="1"/>
  <c r="D59" i="1"/>
  <c r="S58" i="1"/>
  <c r="N58" i="1"/>
  <c r="I58" i="1"/>
  <c r="D58" i="1"/>
  <c r="S57" i="1"/>
  <c r="N57" i="1"/>
  <c r="I57" i="1"/>
  <c r="D57" i="1"/>
  <c r="S56" i="1"/>
  <c r="N56" i="1"/>
  <c r="I56" i="1"/>
  <c r="D56" i="1"/>
  <c r="S55" i="1"/>
  <c r="N55" i="1"/>
  <c r="I55" i="1"/>
  <c r="D55" i="1"/>
  <c r="S54" i="1"/>
  <c r="N54" i="1"/>
  <c r="I54" i="1"/>
  <c r="D54" i="1"/>
  <c r="S53" i="1"/>
  <c r="N53" i="1"/>
  <c r="I53" i="1"/>
  <c r="D53" i="1"/>
  <c r="S52" i="1"/>
  <c r="N52" i="1"/>
  <c r="I52" i="1"/>
  <c r="D52" i="1"/>
  <c r="S51" i="1"/>
  <c r="N51" i="1"/>
  <c r="I51" i="1"/>
  <c r="D51" i="1"/>
  <c r="S50" i="1"/>
  <c r="N50" i="1"/>
  <c r="I50" i="1"/>
  <c r="D50" i="1"/>
  <c r="S49" i="1"/>
  <c r="N49" i="1"/>
  <c r="I49" i="1"/>
  <c r="D49" i="1"/>
  <c r="S48" i="1"/>
  <c r="N48" i="1"/>
  <c r="I48" i="1"/>
  <c r="D48" i="1"/>
  <c r="S47" i="1"/>
  <c r="N47" i="1"/>
  <c r="I47" i="1"/>
  <c r="D47" i="1"/>
  <c r="S46" i="1"/>
  <c r="N46" i="1"/>
  <c r="I46" i="1"/>
  <c r="D46" i="1"/>
  <c r="S45" i="1"/>
  <c r="N45" i="1"/>
  <c r="I45" i="1"/>
  <c r="D45" i="1"/>
  <c r="S44" i="1"/>
  <c r="N44" i="1"/>
  <c r="I44" i="1"/>
  <c r="D44" i="1"/>
  <c r="S43" i="1"/>
  <c r="N43" i="1"/>
  <c r="I43" i="1"/>
  <c r="D43" i="1"/>
  <c r="S42" i="1"/>
  <c r="N42" i="1"/>
  <c r="I42" i="1"/>
  <c r="D42" i="1"/>
  <c r="S41" i="1"/>
  <c r="N41" i="1"/>
  <c r="I41" i="1"/>
  <c r="D41" i="1"/>
  <c r="S40" i="1"/>
  <c r="N40" i="1"/>
  <c r="I40" i="1"/>
  <c r="D40" i="1"/>
  <c r="S39" i="1"/>
  <c r="N39" i="1"/>
  <c r="I39" i="1"/>
  <c r="D39" i="1"/>
  <c r="S38" i="1"/>
  <c r="N38" i="1"/>
  <c r="I38" i="1"/>
  <c r="D38" i="1"/>
  <c r="S37" i="1"/>
  <c r="N37" i="1"/>
  <c r="I37" i="1"/>
  <c r="D37" i="1"/>
  <c r="S36" i="1"/>
  <c r="N36" i="1"/>
  <c r="I36" i="1"/>
  <c r="D36" i="1"/>
  <c r="S35" i="1"/>
  <c r="N35" i="1"/>
  <c r="I35" i="1"/>
  <c r="D35" i="1"/>
  <c r="S34" i="1"/>
  <c r="N34" i="1"/>
  <c r="I34" i="1"/>
  <c r="D34" i="1"/>
  <c r="S33" i="1"/>
  <c r="N33" i="1"/>
  <c r="I33" i="1"/>
  <c r="D33" i="1"/>
  <c r="S32" i="1"/>
  <c r="N32" i="1"/>
  <c r="I32" i="1"/>
  <c r="D32" i="1"/>
  <c r="S31" i="1"/>
  <c r="N31" i="1"/>
  <c r="I31" i="1"/>
  <c r="D31" i="1"/>
  <c r="S30" i="1"/>
  <c r="N30" i="1"/>
  <c r="I30" i="1"/>
  <c r="D30" i="1"/>
  <c r="S29" i="1"/>
  <c r="N29" i="1"/>
  <c r="I29" i="1"/>
  <c r="D29" i="1"/>
  <c r="S28" i="1"/>
  <c r="N28" i="1"/>
  <c r="I28" i="1"/>
  <c r="D28" i="1"/>
  <c r="S27" i="1"/>
  <c r="N27" i="1"/>
  <c r="I27" i="1"/>
  <c r="D27" i="1"/>
  <c r="S26" i="1"/>
  <c r="N26" i="1"/>
  <c r="I26" i="1"/>
  <c r="D26" i="1"/>
  <c r="S25" i="1"/>
  <c r="N25" i="1"/>
  <c r="I25" i="1"/>
  <c r="D25" i="1"/>
  <c r="S24" i="1"/>
  <c r="N24" i="1"/>
  <c r="I24" i="1"/>
  <c r="D24" i="1"/>
  <c r="S23" i="1"/>
  <c r="N23" i="1"/>
  <c r="I23" i="1"/>
  <c r="D23" i="1"/>
  <c r="S22" i="1"/>
  <c r="N22" i="1"/>
  <c r="I22" i="1"/>
  <c r="D22" i="1"/>
  <c r="S21" i="1"/>
  <c r="N21" i="1"/>
  <c r="I21" i="1"/>
  <c r="D21" i="1"/>
  <c r="S20" i="1"/>
  <c r="N20" i="1"/>
  <c r="I20" i="1"/>
  <c r="D20" i="1"/>
  <c r="S19" i="1"/>
  <c r="N19" i="1"/>
  <c r="I19" i="1"/>
  <c r="D19" i="1"/>
  <c r="S18" i="1"/>
  <c r="N18" i="1"/>
  <c r="I18" i="1"/>
  <c r="D18" i="1"/>
  <c r="S17" i="1"/>
  <c r="N17" i="1"/>
  <c r="I17" i="1"/>
  <c r="D17" i="1"/>
  <c r="S16" i="1"/>
  <c r="N16" i="1"/>
  <c r="I16" i="1"/>
  <c r="D16" i="1"/>
  <c r="S15" i="1"/>
  <c r="N15" i="1"/>
  <c r="I15" i="1"/>
  <c r="D15" i="1"/>
  <c r="S14" i="1"/>
  <c r="N14" i="1"/>
  <c r="I14" i="1"/>
  <c r="D14" i="1"/>
  <c r="S13" i="1"/>
  <c r="N13" i="1"/>
  <c r="I13" i="1"/>
  <c r="D13" i="1"/>
  <c r="S12" i="1"/>
  <c r="N12" i="1"/>
  <c r="I12" i="1"/>
  <c r="D12" i="1"/>
  <c r="S11" i="1"/>
  <c r="N11" i="1"/>
  <c r="I11" i="1"/>
  <c r="D11" i="1"/>
  <c r="S10" i="1"/>
  <c r="N10" i="1"/>
  <c r="I10" i="1"/>
  <c r="D10" i="1"/>
  <c r="S9" i="1"/>
  <c r="N9" i="1"/>
  <c r="I9" i="1"/>
  <c r="D9" i="1"/>
  <c r="S8" i="1"/>
  <c r="N8" i="1"/>
  <c r="I8" i="1"/>
  <c r="D8" i="1"/>
  <c r="S7" i="1"/>
  <c r="N7" i="1"/>
  <c r="I7" i="1"/>
  <c r="D7" i="1"/>
  <c r="S6" i="1"/>
  <c r="N6" i="1"/>
  <c r="I6" i="1"/>
  <c r="D6" i="1"/>
  <c r="S5" i="1"/>
  <c r="N5" i="1"/>
  <c r="I5" i="1"/>
  <c r="D5" i="1"/>
  <c r="S4" i="1"/>
  <c r="N4" i="1"/>
  <c r="I4" i="1"/>
  <c r="D4" i="1"/>
  <c r="S3" i="1"/>
  <c r="N3" i="1"/>
  <c r="I3" i="1"/>
  <c r="D3" i="1"/>
</calcChain>
</file>

<file path=xl/sharedStrings.xml><?xml version="1.0" encoding="utf-8"?>
<sst xmlns="http://schemas.openxmlformats.org/spreadsheetml/2006/main" count="527" uniqueCount="512">
  <si>
    <t>مهن أساسية مهارات عالية</t>
  </si>
  <si>
    <t>مهن أساسية داعمة  مهارات عالية</t>
  </si>
  <si>
    <t>مهن أساسية مهارات متوسطة</t>
  </si>
  <si>
    <t>مهن أساسية داعمة  مهارات متوسطة</t>
  </si>
  <si>
    <t>المهنة</t>
  </si>
  <si>
    <t>سعودي</t>
  </si>
  <si>
    <t xml:space="preserve">مجموع العمالة </t>
  </si>
  <si>
    <t>نسبة التوطين</t>
  </si>
  <si>
    <t>Grand Total</t>
  </si>
  <si>
    <t>مهندس ميكانيكي</t>
  </si>
  <si>
    <t>فني صيانة ميكانيكية</t>
  </si>
  <si>
    <t>كاتب إنتاج</t>
  </si>
  <si>
    <t>مراقب الجودة</t>
  </si>
  <si>
    <t>مشرف إنتاج</t>
  </si>
  <si>
    <t>أخصائي مشتريات</t>
  </si>
  <si>
    <t>مشغل آلة تعبئة</t>
  </si>
  <si>
    <t>أمين مخزن</t>
  </si>
  <si>
    <t>مهندس كهربائي</t>
  </si>
  <si>
    <t>مشرف صحة وسلامة مهنية</t>
  </si>
  <si>
    <t>لحّام</t>
  </si>
  <si>
    <t>سائق رافعة شوكية</t>
  </si>
  <si>
    <t>مشرف تصنيع</t>
  </si>
  <si>
    <t>مهندس مدني</t>
  </si>
  <si>
    <t>مشغل توربين</t>
  </si>
  <si>
    <t>فاحص ومقيّم منتجات</t>
  </si>
  <si>
    <t>فني هندسة ميكانيكية</t>
  </si>
  <si>
    <t>كيميائي</t>
  </si>
  <si>
    <t>مشغل آلات تصنيع منتجات بلاستيكية</t>
  </si>
  <si>
    <t>كاتب حركة مخزون</t>
  </si>
  <si>
    <t>مهندس كيميائي</t>
  </si>
  <si>
    <t>أخصائي جودة</t>
  </si>
  <si>
    <t>عامل تجميع منتجات بلاستيكية ومعدنية</t>
  </si>
  <si>
    <t>كاتب شحن</t>
  </si>
  <si>
    <t>مشرف صيانة</t>
  </si>
  <si>
    <t>أخصائي صحة وسلامة مهنية</t>
  </si>
  <si>
    <t>مشغل آلة تغليف</t>
  </si>
  <si>
    <t>مشغل رافعة</t>
  </si>
  <si>
    <t>مهندس صناعي</t>
  </si>
  <si>
    <t>فني صيانة آلات كهربائية</t>
  </si>
  <si>
    <t>خياط</t>
  </si>
  <si>
    <t>كهربائي مباني</t>
  </si>
  <si>
    <t>فني هندسة إنتاج</t>
  </si>
  <si>
    <t>فني معادن</t>
  </si>
  <si>
    <t>مشغل آلة تشطيب معادن</t>
  </si>
  <si>
    <t>ميكانيكي سيارات</t>
  </si>
  <si>
    <t>فني هندسة كهربائية</t>
  </si>
  <si>
    <t>فني كهربائي تمديدات كهربائية</t>
  </si>
  <si>
    <t>مشغل آلة بثق معادن</t>
  </si>
  <si>
    <t>عامل خطوط طاقة كهربائية</t>
  </si>
  <si>
    <t>مهندس إنتاج</t>
  </si>
  <si>
    <t>فني تدفئة وتهوية وتكييف</t>
  </si>
  <si>
    <t>مشغل مخرطة</t>
  </si>
  <si>
    <t>ميكانيكي معدات ثقيلة</t>
  </si>
  <si>
    <t>مدير مصنع</t>
  </si>
  <si>
    <t>فني كيميائي</t>
  </si>
  <si>
    <t>مشغل آلة درفلة معادن</t>
  </si>
  <si>
    <t>عامل صيانة أجهزة كهربائية</t>
  </si>
  <si>
    <t>مدير إنتاج صناعي</t>
  </si>
  <si>
    <t>أخصائي مستودعات</t>
  </si>
  <si>
    <t>مشغل آلات تصنيع مواد بلاستيكية</t>
  </si>
  <si>
    <t>سائق معدات ثقيلة</t>
  </si>
  <si>
    <t>مهندس إلكترونيات</t>
  </si>
  <si>
    <t>مراقب مخزون</t>
  </si>
  <si>
    <t>مشغل آلة معالجة كيميائية</t>
  </si>
  <si>
    <t>ميكانيكي معدات خفيفة</t>
  </si>
  <si>
    <t>مدير عمليات تشغيل</t>
  </si>
  <si>
    <t>فني جودة</t>
  </si>
  <si>
    <t>مشغل آلة صناعات كيميائية</t>
  </si>
  <si>
    <t>ميكانيكي كهرباء</t>
  </si>
  <si>
    <t>رسام هندسي</t>
  </si>
  <si>
    <t>مدير مشتريات</t>
  </si>
  <si>
    <t>مشغل آلة خياطة</t>
  </si>
  <si>
    <t>عامل خرسانة</t>
  </si>
  <si>
    <t>فني فرن صهر معادن</t>
  </si>
  <si>
    <t>فني أجهزة إلكترونية</t>
  </si>
  <si>
    <t>مشغل آلة نسيج</t>
  </si>
  <si>
    <t>ميكانيكي طائرات</t>
  </si>
  <si>
    <t>مدير صيانة</t>
  </si>
  <si>
    <t>فني ميكانيكي معدات ثقيلة</t>
  </si>
  <si>
    <t>طاهي</t>
  </si>
  <si>
    <t>ميكانيكي تدفئة وتهوية وتكييف</t>
  </si>
  <si>
    <t>مهندس حاسب آلي</t>
  </si>
  <si>
    <t>أمين مستودع فني</t>
  </si>
  <si>
    <t>مشغل آلة إنتاج أسمنت</t>
  </si>
  <si>
    <t>موصل كابلات كهربائية</t>
  </si>
  <si>
    <t>مصمم صناعي</t>
  </si>
  <si>
    <t>مهندس سلامة وصحة مهنية</t>
  </si>
  <si>
    <t>مشغل آلات تشكيل بلاستيك</t>
  </si>
  <si>
    <t>ناصب سقالات</t>
  </si>
  <si>
    <t>كيميائي صناعات</t>
  </si>
  <si>
    <t>مدير جودة</t>
  </si>
  <si>
    <t>مُجمع معدات ميكانيكية</t>
  </si>
  <si>
    <t>مشغل مضخة مياه</t>
  </si>
  <si>
    <t>فني مصانع كيميائية</t>
  </si>
  <si>
    <t>فني هندسة إلكترونية</t>
  </si>
  <si>
    <t>مشغل مصهر معادن خام</t>
  </si>
  <si>
    <t>منسق حركة رافعات</t>
  </si>
  <si>
    <t>مراقب عملية إنتاج المعادن</t>
  </si>
  <si>
    <t>مهندس ضبط وتحكم في الجودة</t>
  </si>
  <si>
    <t>مشغل آلة تصنيع ورق</t>
  </si>
  <si>
    <t>ميكانيكي معدات الكرتونية</t>
  </si>
  <si>
    <t>جيولوجي</t>
  </si>
  <si>
    <t>مدير مستودع</t>
  </si>
  <si>
    <t>مشغل حفارة</t>
  </si>
  <si>
    <t>مشحم ومزيت مركبات</t>
  </si>
  <si>
    <t>فني تشغيل خط تجميع آلي</t>
  </si>
  <si>
    <t>فني أجهزة دقيقة</t>
  </si>
  <si>
    <t>مشغل آلة إنتاج مستحضرات صيدلانية</t>
  </si>
  <si>
    <t>عامل رافعات</t>
  </si>
  <si>
    <t>مهندس تعدين</t>
  </si>
  <si>
    <t>فني صيانة أجهزة كهربائية</t>
  </si>
  <si>
    <t>نجّار</t>
  </si>
  <si>
    <t>إلكتروني طائرات</t>
  </si>
  <si>
    <t>مدير تصنيع</t>
  </si>
  <si>
    <t>فني ميكانيكي محركات</t>
  </si>
  <si>
    <t>صانع حلويات</t>
  </si>
  <si>
    <t>مُصلّح أجهزة دقيقة</t>
  </si>
  <si>
    <t>مهندس الكتروني اجهزة</t>
  </si>
  <si>
    <t>فني ميكانيكي مركبات</t>
  </si>
  <si>
    <t>مشغل آلة معالجة حرارية للمعادن</t>
  </si>
  <si>
    <t>ميكانيكي معدات تعدين</t>
  </si>
  <si>
    <t>مهندس ميكانيكي تقني</t>
  </si>
  <si>
    <t>أخصائي مراقبة مخزون</t>
  </si>
  <si>
    <t>مشغل آلة صب المعادن</t>
  </si>
  <si>
    <t>ميكانيكي حافلات</t>
  </si>
  <si>
    <t>مشرف محجر</t>
  </si>
  <si>
    <t>مهندس الصحة والسلامة والبيئة</t>
  </si>
  <si>
    <t>عامل تعدين</t>
  </si>
  <si>
    <t>عامل خدمات الاتصالات وتقنية المعلومات</t>
  </si>
  <si>
    <t>مهندس ميكاترونكس</t>
  </si>
  <si>
    <t>مدير عمليات سلامة</t>
  </si>
  <si>
    <t>مشغل كسارة</t>
  </si>
  <si>
    <t>متذوق أطعمة ومشروبات</t>
  </si>
  <si>
    <t>أخصائي تقنية هندسة  ميكانيكية</t>
  </si>
  <si>
    <t>مدير بحث وتطوير</t>
  </si>
  <si>
    <t>مشغل آلة تصنيع منتجات ورقية</t>
  </si>
  <si>
    <t>مصنف أطعمة ومشروبات</t>
  </si>
  <si>
    <t>مشرف تعدين</t>
  </si>
  <si>
    <t>مصمم أثاث</t>
  </si>
  <si>
    <t>مشغل آلة إنتاج منتجات حجرية ومعدنية</t>
  </si>
  <si>
    <t>مشغل مدحلة طرق</t>
  </si>
  <si>
    <t>مدير تطوير المنتجات</t>
  </si>
  <si>
    <t>فني ضبط جودة منتجات</t>
  </si>
  <si>
    <t>مشغل آلة خلط مواد كيميائية</t>
  </si>
  <si>
    <t>ميكانيكي ضاغطة</t>
  </si>
  <si>
    <t>مهندس كهربائي تقني</t>
  </si>
  <si>
    <t>فني كهربائي أنظمة حماية كهربائية</t>
  </si>
  <si>
    <t>مشغل آلة جلفنة المعادن</t>
  </si>
  <si>
    <t>بناء</t>
  </si>
  <si>
    <t>مهندس مواد</t>
  </si>
  <si>
    <t>مشغل محطة توليد طاقة</t>
  </si>
  <si>
    <t>مُجمع أجهزة تبريد</t>
  </si>
  <si>
    <t>جزّار</t>
  </si>
  <si>
    <t>فني كفاءة إنتاجية</t>
  </si>
  <si>
    <t>فني علوم أغذية</t>
  </si>
  <si>
    <t>مشغل آلة إنتاج مخابز وحلويات</t>
  </si>
  <si>
    <t>ميكانيكي مصاعد</t>
  </si>
  <si>
    <t>مهندس إنشائي</t>
  </si>
  <si>
    <t>فني صيانة أجهزة إلكترونية</t>
  </si>
  <si>
    <t>مشغل آلة إنتاج الخرسانة</t>
  </si>
  <si>
    <t>ميكانيكي محرك طائرة</t>
  </si>
  <si>
    <t>مهندس كيميائي تقني</t>
  </si>
  <si>
    <t>مصمم مجوهرات</t>
  </si>
  <si>
    <t>مُجمع لوحات توزيع كهربائية</t>
  </si>
  <si>
    <t>عامل عزل حراري</t>
  </si>
  <si>
    <t>مهندس إلكترونيات تقني</t>
  </si>
  <si>
    <t>مسّاح أراضي</t>
  </si>
  <si>
    <t>مشغل آلة تصنيع زجاج</t>
  </si>
  <si>
    <t>سائق خلاط أسمنت</t>
  </si>
  <si>
    <t>أخصائي تقنية هندسة  كهرباء</t>
  </si>
  <si>
    <t>فني مواد إنشائية</t>
  </si>
  <si>
    <t>مشغل آلة تعبئة منتجات كيميائية</t>
  </si>
  <si>
    <t>قاطع أحجار</t>
  </si>
  <si>
    <t>مهندس معادن</t>
  </si>
  <si>
    <t>فني إنشاءات</t>
  </si>
  <si>
    <t>عامل تجميع ورق مقوى</t>
  </si>
  <si>
    <t>مشغل ونش</t>
  </si>
  <si>
    <t>مهندس أتمتة</t>
  </si>
  <si>
    <t>مدير سلسلة توريد</t>
  </si>
  <si>
    <t>محضّر ومركّب هياكل معدنية</t>
  </si>
  <si>
    <t>ميكانيكي سفن</t>
  </si>
  <si>
    <t>مهندس ميكانيكي آليات ثقيلة</t>
  </si>
  <si>
    <t>اخصائي مواصفات ومقاييس وجودة</t>
  </si>
  <si>
    <t>مشغل آلة إنتاج طوب أسمنتي</t>
  </si>
  <si>
    <t>ميكانيكي قطارات</t>
  </si>
  <si>
    <t>مدير عمليات هندسة ميكانيكية</t>
  </si>
  <si>
    <t>مساح كميات</t>
  </si>
  <si>
    <t>مُجمع سيارات</t>
  </si>
  <si>
    <t>سمكري مركبات</t>
  </si>
  <si>
    <t>مهندس إنتاج تقني</t>
  </si>
  <si>
    <t>فني هندسة تعدين</t>
  </si>
  <si>
    <t>مشغل آلة طلاء معادن</t>
  </si>
  <si>
    <t>مُركِّب إطارات</t>
  </si>
  <si>
    <t>مدير عمليات هندسة صناعية</t>
  </si>
  <si>
    <t>فني هندسة مدنية</t>
  </si>
  <si>
    <t>مشغل آلة مطحن حبوب</t>
  </si>
  <si>
    <t>ميكانيكي معدات زراعية</t>
  </si>
  <si>
    <t>أخصائي تقنية هندسة إنتاج</t>
  </si>
  <si>
    <t>محضر مختبر علوم</t>
  </si>
  <si>
    <t>مُجمع محولات كهربائية</t>
  </si>
  <si>
    <t>ميكانيكي إصلاح هيكل الطائرة</t>
  </si>
  <si>
    <t>فني هندسة كيميائية</t>
  </si>
  <si>
    <t>فني كهروميكانيك</t>
  </si>
  <si>
    <t>نجار أثاث</t>
  </si>
  <si>
    <t>عامل عزل أنابيب ومراجل</t>
  </si>
  <si>
    <t>مهندس أجهزة طبية</t>
  </si>
  <si>
    <t>فني ميكانيكي طائرات نفاثة</t>
  </si>
  <si>
    <t>عامل تجميع أثاث</t>
  </si>
  <si>
    <t>ميكانيكي منصة حفر</t>
  </si>
  <si>
    <t>جيولوجي تعدين مصادر طبيعية</t>
  </si>
  <si>
    <t>أخصائي لوجستي</t>
  </si>
  <si>
    <t>حدّاد</t>
  </si>
  <si>
    <t>ميكانيكي برادات</t>
  </si>
  <si>
    <t>مهندس تدفئة وتهوية وتكييف</t>
  </si>
  <si>
    <t>فني ميكانيكي هياكل</t>
  </si>
  <si>
    <t>مشغل آلة طرق معادن</t>
  </si>
  <si>
    <t>مُصلّح أجهزة قياس</t>
  </si>
  <si>
    <t>أخصائي تقنية هندسة  كيميائية</t>
  </si>
  <si>
    <t>مصمم أزياء</t>
  </si>
  <si>
    <t>مُجمع مقاسم إلكترونية</t>
  </si>
  <si>
    <t>مصلح عربات من غير محرك</t>
  </si>
  <si>
    <t>مهندس مدني تقني</t>
  </si>
  <si>
    <t>مفتش حرائق</t>
  </si>
  <si>
    <t>مشغل مجرفة تحميل</t>
  </si>
  <si>
    <t>مُصلّح أجهزة بصرية</t>
  </si>
  <si>
    <t>مدير عمليات هندسة كهربائية</t>
  </si>
  <si>
    <t>مهندس برمجيات</t>
  </si>
  <si>
    <t>مشغل آلات مناجم</t>
  </si>
  <si>
    <t>مشغل آلة تمهيد أراضي</t>
  </si>
  <si>
    <t>مهندس كهروميكانيكي</t>
  </si>
  <si>
    <t>مشرف صيانة إنشاءات</t>
  </si>
  <si>
    <t>حدّاد مكبس تشكيلي</t>
  </si>
  <si>
    <t>عامل وصل الحبال والسلاسل المعدنية بالجدل</t>
  </si>
  <si>
    <t>أخصائي تقنية هندسة  إلكترونية</t>
  </si>
  <si>
    <t>مهندس بيئي</t>
  </si>
  <si>
    <t>صانع شمع</t>
  </si>
  <si>
    <t>عامل إعادة بناء إطارات مستعملة</t>
  </si>
  <si>
    <t>مهندس طيران</t>
  </si>
  <si>
    <t>أخصائي بيئي</t>
  </si>
  <si>
    <t>حداّد صفيح</t>
  </si>
  <si>
    <t>مشغل آلات حفر آبار مياه</t>
  </si>
  <si>
    <t>مهندس بحري</t>
  </si>
  <si>
    <t>فني مساحة</t>
  </si>
  <si>
    <t>مُشطِّب معادن</t>
  </si>
  <si>
    <t>مُصلِح زجاج مركبات</t>
  </si>
  <si>
    <t>فني تشغيل لوحة تحكم درفلة المعادن</t>
  </si>
  <si>
    <t>رسام خرائط</t>
  </si>
  <si>
    <t>عامل حفظ فواكه وخضروات</t>
  </si>
  <si>
    <t>ميكانيكي دراجة نارية</t>
  </si>
  <si>
    <t>فني صيانة آلات</t>
  </si>
  <si>
    <t>فني حساب كميات</t>
  </si>
  <si>
    <t>مشغل رافعة برجية</t>
  </si>
  <si>
    <t>كهربائي منصة حفر</t>
  </si>
  <si>
    <t>رسام فني مواصفات</t>
  </si>
  <si>
    <t>مفتش مقاييس ومواصفات</t>
  </si>
  <si>
    <t>مشغل آلة إنتاج أسمدة</t>
  </si>
  <si>
    <t>مشغل وحدات تحكم مناجم ومحاجر</t>
  </si>
  <si>
    <t>فني فيزيائي</t>
  </si>
  <si>
    <t>مشغل آلة تجويف معادن</t>
  </si>
  <si>
    <t>مهندس حاسب آلي تقني</t>
  </si>
  <si>
    <t>فني صيانة شبكات كهربائية</t>
  </si>
  <si>
    <t>مشغل آلة تصنيع ورق مقوى</t>
  </si>
  <si>
    <t>مهندس ميكانيكي لحام</t>
  </si>
  <si>
    <t>مدير مختبر تصنيع</t>
  </si>
  <si>
    <t>مشغل آلة غزل خيوط</t>
  </si>
  <si>
    <t>فني أجهزة طبية</t>
  </si>
  <si>
    <t>فيزيائي</t>
  </si>
  <si>
    <t>مشغل آلة تصنيع ألياف اصطناعية</t>
  </si>
  <si>
    <t>مفتش تعدين</t>
  </si>
  <si>
    <t>أخصائي علوم أحياء دقيقة</t>
  </si>
  <si>
    <t>مشغل معدات صقل وتلميع معادن</t>
  </si>
  <si>
    <t>مهندس توليد طاقة</t>
  </si>
  <si>
    <t>مهندس تكاليف</t>
  </si>
  <si>
    <t>مشغل آلة منتجات ألبان</t>
  </si>
  <si>
    <t>مهندس نقل وتوزيع طاقة</t>
  </si>
  <si>
    <t>فني أحياء</t>
  </si>
  <si>
    <t>صانع منتجات ألبان</t>
  </si>
  <si>
    <t>فني تشغيل وحدة سبك معادن</t>
  </si>
  <si>
    <t>فني جيولوجي</t>
  </si>
  <si>
    <t>مُعدّ ومشغّل أدوات وآلات النجارة</t>
  </si>
  <si>
    <t>مهندس مركبات</t>
  </si>
  <si>
    <t>فني كهربائي شبكات توزيع أرضية</t>
  </si>
  <si>
    <t>مشغل آلة تجهيز ألياف</t>
  </si>
  <si>
    <t>مدير عمليات هندسة إلكترونية</t>
  </si>
  <si>
    <t>فني كهربائي شبكات توزيع هوائية</t>
  </si>
  <si>
    <t>مشغل آلة إنتاج دهانات</t>
  </si>
  <si>
    <t>جيوفيزيائي</t>
  </si>
  <si>
    <t>كاتب مواصفات فنية</t>
  </si>
  <si>
    <t>عامل تجميع وحزم الألياف</t>
  </si>
  <si>
    <t>مساح تعدين</t>
  </si>
  <si>
    <t>مهندس بحث وتطوير</t>
  </si>
  <si>
    <t>مشغل آلة تصنيع سيراميك</t>
  </si>
  <si>
    <t>مدير عمليات هندسة كيميائية</t>
  </si>
  <si>
    <t>أخصائي علوم أحياء</t>
  </si>
  <si>
    <t>مُجمع أجهزة كهربائية</t>
  </si>
  <si>
    <t>فني تشغيل مفاعل كيميائي</t>
  </si>
  <si>
    <t>فني توزيع طاقة كهربائية</t>
  </si>
  <si>
    <t>مُجمع محركات</t>
  </si>
  <si>
    <t>كيميائي صناعات بتروكيميائية</t>
  </si>
  <si>
    <t>مشرف إنشاء طرق</t>
  </si>
  <si>
    <t>عامل متفجرات</t>
  </si>
  <si>
    <t>فني صيدلة</t>
  </si>
  <si>
    <t>مدير دراسات أبحاث</t>
  </si>
  <si>
    <t>مُجمع معدات كهربائية</t>
  </si>
  <si>
    <t>فني هيدرولوجي</t>
  </si>
  <si>
    <t>فني ميكانيكي طائرات مروحية</t>
  </si>
  <si>
    <t>مشغل آلة تصنيع بلاط</t>
  </si>
  <si>
    <t>مدير عمليات جيولوجية</t>
  </si>
  <si>
    <t>فني هندسة اتصالات سلكية</t>
  </si>
  <si>
    <t>مشغل آلة السرفلة</t>
  </si>
  <si>
    <t>مدير محجر</t>
  </si>
  <si>
    <t>فني ميكانيكي معدات زراعية</t>
  </si>
  <si>
    <t>خبّاز</t>
  </si>
  <si>
    <t>أخصائي تقنية هندسة  مدنية</t>
  </si>
  <si>
    <t>فني صيانة طرق</t>
  </si>
  <si>
    <t>مشغل آلة تشطيب زجاج</t>
  </si>
  <si>
    <t>مهندس جيوتقني</t>
  </si>
  <si>
    <t>مدير عمليات أمن</t>
  </si>
  <si>
    <t>مشغل آلة تبطين ورق</t>
  </si>
  <si>
    <t>مدير تعدين</t>
  </si>
  <si>
    <t>فني عمليات كيميائية</t>
  </si>
  <si>
    <t>مشغل آلة لف شلائل</t>
  </si>
  <si>
    <t>مدير انتاج مقالع ومناجم</t>
  </si>
  <si>
    <t>فني تفجير</t>
  </si>
  <si>
    <t>مشغل آلة حياكة</t>
  </si>
  <si>
    <t>مهندس أجهزة طبية تقني</t>
  </si>
  <si>
    <t>فني لوحات تحكم محطة طاقة</t>
  </si>
  <si>
    <t>مشغل آلة حلج قطن</t>
  </si>
  <si>
    <t>أخصائي هندسة قيمية</t>
  </si>
  <si>
    <t>فني ميكاترونيكس</t>
  </si>
  <si>
    <t>كهربائي سيارات</t>
  </si>
  <si>
    <t>مدير منصة حفر</t>
  </si>
  <si>
    <t>فني مختبر علمي</t>
  </si>
  <si>
    <t>عامل تطريز</t>
  </si>
  <si>
    <t>أخصائي تقنية هندسة أجهزة طبية</t>
  </si>
  <si>
    <t>أخصائي علوم كيمياء حيوية</t>
  </si>
  <si>
    <t>مشغل آلة عجينة ورق</t>
  </si>
  <si>
    <t>أخصائي تقنية هندسة صناعية</t>
  </si>
  <si>
    <t>مهندس كهربائي تمديدات</t>
  </si>
  <si>
    <t>مشغل آلة إنتاج سكر</t>
  </si>
  <si>
    <t>مهندس توربينات</t>
  </si>
  <si>
    <t>أخصائي علوم أدوية</t>
  </si>
  <si>
    <t>زجّاج</t>
  </si>
  <si>
    <t>هيدرولوجي</t>
  </si>
  <si>
    <t>فني تدعيم حفريات</t>
  </si>
  <si>
    <t>مشغل آلة تشكيل ألواح الزجاج</t>
  </si>
  <si>
    <t>فني بحري</t>
  </si>
  <si>
    <t>فني هندسة اتصالات لاسلكية</t>
  </si>
  <si>
    <t>خبّاز حلويات</t>
  </si>
  <si>
    <t>مهندس نووي</t>
  </si>
  <si>
    <t>فني بصريات طبية</t>
  </si>
  <si>
    <t>مشغل آلة منتجات حبوب</t>
  </si>
  <si>
    <t>فني نقل طاقة كهربائية</t>
  </si>
  <si>
    <t>مشغل آلة منتجات فواكه وخضراوات</t>
  </si>
  <si>
    <t>فني أجهزة رقمية</t>
  </si>
  <si>
    <t>مشغل آلة لصق بطاقات إنتاج</t>
  </si>
  <si>
    <t>فني طرق</t>
  </si>
  <si>
    <t>مشغل آلة حياكة مبرمجة</t>
  </si>
  <si>
    <t>مصمم نسيج</t>
  </si>
  <si>
    <t>مشغل آلة قص ورق</t>
  </si>
  <si>
    <t>أخصائي جغرافيا</t>
  </si>
  <si>
    <t>مشغل غلايات مياه</t>
  </si>
  <si>
    <t>فني لوحات تحكم عمليات كيميائية</t>
  </si>
  <si>
    <t>مشغل آلة منتجات زيوت طعام</t>
  </si>
  <si>
    <t>مدير عمليات إنشائية</t>
  </si>
  <si>
    <t>صانع أدوات و عدة</t>
  </si>
  <si>
    <t>أخصائي علوم صيدلانية</t>
  </si>
  <si>
    <t>مشغل فرن صهر زجاج</t>
  </si>
  <si>
    <t>مدير محطة توليد طاقة</t>
  </si>
  <si>
    <t>مُجمع أجهزة إلكترونية</t>
  </si>
  <si>
    <t>مهندس طب حيوي</t>
  </si>
  <si>
    <t>كهربائي طائرات</t>
  </si>
  <si>
    <t>رسام مخططات طرق</t>
  </si>
  <si>
    <t>مشغل آلة تصنيع منتجات خشبية</t>
  </si>
  <si>
    <t>أخصائي تقنية حيوية</t>
  </si>
  <si>
    <t>عامل تجميع منتجات نسيجية</t>
  </si>
  <si>
    <t>اخصائي وقاية إشعاعية</t>
  </si>
  <si>
    <t>مُجمع معدات إلكترونية</t>
  </si>
  <si>
    <t>أخصائي علوم بكتيريا</t>
  </si>
  <si>
    <t>مشغل آلات خلط مواد بلاستيكية</t>
  </si>
  <si>
    <t>أخصائي مختبرات سريرية</t>
  </si>
  <si>
    <t>مشغل آلة قص قماش</t>
  </si>
  <si>
    <t>مهندس صحي</t>
  </si>
  <si>
    <t>مشغل آلة إنتاج مستحضرات تجميل</t>
  </si>
  <si>
    <t>مهندس طرق</t>
  </si>
  <si>
    <t>مشغل آلة تشطيب منتجات بلاستيكية</t>
  </si>
  <si>
    <t>فني إنقاذ</t>
  </si>
  <si>
    <t>صانع قوالب معدنية</t>
  </si>
  <si>
    <t>مشغل محرقة مخلفات</t>
  </si>
  <si>
    <t>مشغل آلات طباعة العلامات</t>
  </si>
  <si>
    <t>أخصائي علوم فيزياء نووية</t>
  </si>
  <si>
    <t>مشغل فرن طوب وبلاط</t>
  </si>
  <si>
    <t>أخصائي مختبر علمي</t>
  </si>
  <si>
    <t>مشغل آلة تعقيم مواد غذائية</t>
  </si>
  <si>
    <t>فني رصد جوي</t>
  </si>
  <si>
    <t>حداّد نحاس</t>
  </si>
  <si>
    <t>مسّاح هيدروغرافي</t>
  </si>
  <si>
    <t>مُجمع أجهزة طبية</t>
  </si>
  <si>
    <t>أخصائي علوم رياضيات</t>
  </si>
  <si>
    <t>مشغل آلة غسيل الأقمشة</t>
  </si>
  <si>
    <t>أخصائي فيزياء طبية</t>
  </si>
  <si>
    <t>مشغل نول آلي</t>
  </si>
  <si>
    <t>فني أوتوترونيكس</t>
  </si>
  <si>
    <t>مشغل آلة جدل خيوط</t>
  </si>
  <si>
    <t>مشغل آلة إنتاج تمور</t>
  </si>
  <si>
    <t>مشغل آلة تشكيل خشب</t>
  </si>
  <si>
    <t>مشغل آلة تشطيب ورق</t>
  </si>
  <si>
    <t>صانع بخور وعطور</t>
  </si>
  <si>
    <t>مشغل مطحنة معادن خام</t>
  </si>
  <si>
    <t>مشغل آلة تشطيب رخام</t>
  </si>
  <si>
    <t>صائغ زخرفة معادن ثمينة وطلاء بالمينا</t>
  </si>
  <si>
    <t>مشغل آلة تشكيل ورق</t>
  </si>
  <si>
    <t>مشغل آلة قطع خشب</t>
  </si>
  <si>
    <t>سنّان ومجلّخ أدوات معدنية</t>
  </si>
  <si>
    <t>قاطع لهب</t>
  </si>
  <si>
    <t>مشغل آلة تشطيب بلاط</t>
  </si>
  <si>
    <t>مشغل آلة غربلة</t>
  </si>
  <si>
    <t>مشغل آلة تسوية أسطح أخشاب</t>
  </si>
  <si>
    <t>مشغل آلة تنظيف الأدمة والتلحيم</t>
  </si>
  <si>
    <t>مشغل آلة كي</t>
  </si>
  <si>
    <t>مُجمع طائرات</t>
  </si>
  <si>
    <t>مشغل آلة تشطيب خيوط</t>
  </si>
  <si>
    <t>سابك معادن</t>
  </si>
  <si>
    <t>عامل طلاء بالرش</t>
  </si>
  <si>
    <t>مشغل آلة تصنيع قشرة</t>
  </si>
  <si>
    <t>مُعالج أخشاب</t>
  </si>
  <si>
    <t>مشغل آلة تصنيع مطاط</t>
  </si>
  <si>
    <t>مشغل آلة جدل حبال</t>
  </si>
  <si>
    <t>مركب زجاج</t>
  </si>
  <si>
    <t>عامل طلاء مركبات</t>
  </si>
  <si>
    <t>مشغل جرافة</t>
  </si>
  <si>
    <t>صانع الفخار والسيراميك</t>
  </si>
  <si>
    <t>نجار قوالب انشائية</t>
  </si>
  <si>
    <t>مشغل مخرطة حجر ورخام</t>
  </si>
  <si>
    <t>مشغل آلة تجفيف ورق</t>
  </si>
  <si>
    <t>مشغل منشار خشب</t>
  </si>
  <si>
    <t>مشغل مولد بخار</t>
  </si>
  <si>
    <t>مشغل آلة غسيل ملابس وبياضات</t>
  </si>
  <si>
    <t>مشغل آلة صباغة المنسوجات</t>
  </si>
  <si>
    <t>صانع نماذج ملابس</t>
  </si>
  <si>
    <t>كهربائي سفن</t>
  </si>
  <si>
    <t>مشغل آلة إنتاج رقائق السيليكون</t>
  </si>
  <si>
    <t>عامل تجميع منتجات المطاط</t>
  </si>
  <si>
    <t>مشغل آلة تطريز</t>
  </si>
  <si>
    <t>مشغل آلة تصنيع منتجات مطاطية</t>
  </si>
  <si>
    <t>مشغل آلة تصنيع إطارات مطاطية</t>
  </si>
  <si>
    <t>غزّال</t>
  </si>
  <si>
    <t>مشغل آلة رسم نماذج قص المنسوجات</t>
  </si>
  <si>
    <t>مشغل آلة تشكيل مطاط</t>
  </si>
  <si>
    <t>مُجمع ناقلات حركة</t>
  </si>
  <si>
    <t>عامل طلاء مصنوعات</t>
  </si>
  <si>
    <t>مشغل آلة تصنيع لحوم</t>
  </si>
  <si>
    <t>مشغل آلة معالجة أحجار</t>
  </si>
  <si>
    <t>مشغل آلة فرز النواة</t>
  </si>
  <si>
    <t>مشغل آلة تصفيح المطاط</t>
  </si>
  <si>
    <t>حجار</t>
  </si>
  <si>
    <t>مشغل آلة صباغة خيوط</t>
  </si>
  <si>
    <t>مشغل آلة تشطيب منسوجات</t>
  </si>
  <si>
    <t>ملون زجاج</t>
  </si>
  <si>
    <t>حِرَفي منتجات خشبية</t>
  </si>
  <si>
    <t>عامل طلاء بالورنيش</t>
  </si>
  <si>
    <t>مشغل آلة صنع خيام</t>
  </si>
  <si>
    <t>نجار حفر وصدفيات</t>
  </si>
  <si>
    <t>مشغل آلة تجفيف أطعمة</t>
  </si>
  <si>
    <t>مشغل آلة عراوي</t>
  </si>
  <si>
    <t>حدّاد مطرقة آلية</t>
  </si>
  <si>
    <t>مشغل آلة معالجة خيوط غزل</t>
  </si>
  <si>
    <t>مشغل فرن تجفيف الخشب</t>
  </si>
  <si>
    <t>مشغل آلة تركيب أزرار</t>
  </si>
  <si>
    <t>مشغل آلة مكبس كي</t>
  </si>
  <si>
    <t>مشغل آلة غسيل سجاد وموكيت</t>
  </si>
  <si>
    <t>مشغل آلة لف الأقمشة</t>
  </si>
  <si>
    <t>عامل تثبيت أسقف مناجم</t>
  </si>
  <si>
    <t>مشغل آلة إنتاج متفجرات</t>
  </si>
  <si>
    <t>مُنجِّد</t>
  </si>
  <si>
    <t>عامل برشمة</t>
  </si>
  <si>
    <t>مشطب زجاج</t>
  </si>
  <si>
    <t>صانع مراتب</t>
  </si>
  <si>
    <t>نقّاش حجر</t>
  </si>
  <si>
    <t>عامل حرف جلدية</t>
  </si>
  <si>
    <t>اسكافي</t>
  </si>
  <si>
    <t>دباغ جلود</t>
  </si>
  <si>
    <t>صانع منتجات جلدية</t>
  </si>
  <si>
    <t>مشغل آلة نفخ زجاج</t>
  </si>
  <si>
    <t>مشغل مكبس أخشاب</t>
  </si>
  <si>
    <t>حدّاد مراجل</t>
  </si>
  <si>
    <t>دهّان زخرفي</t>
  </si>
  <si>
    <t>صانع قوالب الفخار والسيراميك</t>
  </si>
  <si>
    <t>ناسج سجاد يدوي</t>
  </si>
  <si>
    <t>مشغل آلة صقل جلود</t>
  </si>
  <si>
    <t>مشغل مبخرة تمور</t>
  </si>
  <si>
    <t>مشغل مراجل بخار</t>
  </si>
  <si>
    <t>مشغل أفران تجفيف منسوجات</t>
  </si>
  <si>
    <t>حائك</t>
  </si>
  <si>
    <t>نسّاج</t>
  </si>
  <si>
    <t>مشغل أفران تجفيف جلود</t>
  </si>
  <si>
    <t>مشغل آلة تصنيع أسماك وقشريات</t>
  </si>
  <si>
    <t>معالج جلود طبيعية</t>
  </si>
  <si>
    <t>مشغل أحواض تنظيف الجلود</t>
  </si>
  <si>
    <t>مشغل آلة تبييض منسوجات</t>
  </si>
  <si>
    <t>مشغل آلة سحب وشد الجلود</t>
  </si>
  <si>
    <t>حدّاد نصال</t>
  </si>
  <si>
    <t>مشغل آلة إنتاج أحذية</t>
  </si>
  <si>
    <t>مشغل آلة تشطيب حقائب</t>
  </si>
  <si>
    <t>مشغل آلة صباغة جلود وفرو</t>
  </si>
  <si>
    <t>مشغل آلة معالجة جلود وفرو</t>
  </si>
  <si>
    <t>نجار سفن</t>
  </si>
  <si>
    <t>نقّاش</t>
  </si>
  <si>
    <t>عامل تجميع دراجات هوائية</t>
  </si>
  <si>
    <t>مشغل آلة إنتاج حقائب</t>
  </si>
  <si>
    <t>مشغل آلة تعتيق أقمشة</t>
  </si>
  <si>
    <t>مفصل عقال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</si>
</sst>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Sakkal Majalla"/>
    </font>
    <font>
      <sz val="11"/>
      <color theme="1"/>
      <name val="Sakkal Majalla"/>
    </font>
    <font>
      <b/>
      <sz val="11"/>
      <color theme="0"/>
      <name val="Sakkal Majalla"/>
    </font>
    <font>
      <b/>
      <sz val="11"/>
      <color theme="1"/>
      <name val="Sakkal Majalla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0" xfId="1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9" fontId="3" fillId="4" borderId="0" xfId="1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9" fontId="3" fillId="4" borderId="0" xfId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9" fontId="5" fillId="5" borderId="0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8"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kkal Majalla"/>
        <scheme val="none"/>
      </font>
      <fill>
        <patternFill patternType="solid">
          <fgColor theme="4"/>
          <bgColor theme="4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kkal Majalla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akkal Majalla"/>
        <scheme val="none"/>
      </font>
    </dxf>
    <dxf>
      <font>
        <strike val="0"/>
        <outline val="0"/>
        <shadow val="0"/>
        <u val="none"/>
        <vertAlign val="baseline"/>
        <name val="Sakkal Majall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4BE80-45B5-453F-840B-EE1D0960AB7F}" name="Table1" displayName="Table1" ref="A2:D97" totalsRowShown="0" headerRowDxfId="27" dataDxfId="26">
  <autoFilter ref="A2:D97" xr:uid="{C2D4BE80-45B5-453F-840B-EE1D0960AB7F}"/>
  <sortState xmlns:xlrd2="http://schemas.microsoft.com/office/spreadsheetml/2017/richdata2" ref="A3:D97">
    <sortCondition descending="1" ref="C3:C98"/>
  </sortState>
  <tableColumns count="4">
    <tableColumn id="1" xr3:uid="{F4AC63BD-3D58-41F9-8261-CE8347AC6F04}" name="المهنة" dataDxfId="25"/>
    <tableColumn id="2" xr3:uid="{4560A12B-DC44-44B7-AA49-92024CF235FC}" name="سعودي" dataDxfId="24"/>
    <tableColumn id="3" xr3:uid="{F153305B-1025-40FB-B978-07E0C7A94D6F}" name="مجموع العمالة " dataDxfId="23"/>
    <tableColumn id="4" xr3:uid="{F20EFAB4-5E2E-4547-AC8C-F78846F7C897}" name="نسبة التوطين" dataDxfId="22" dataCellStyle="Percent">
      <calculatedColumnFormula>B3/C3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BFDC89-FABA-45D5-B230-748C2838CAB8}" name="Table4" displayName="Table4" ref="F2:I123" totalsRowShown="0" headerRowDxfId="21" dataDxfId="20">
  <autoFilter ref="F2:I123" xr:uid="{9FBFDC89-FABA-45D5-B230-748C2838CAB8}"/>
  <sortState xmlns:xlrd2="http://schemas.microsoft.com/office/spreadsheetml/2017/richdata2" ref="F3:I123">
    <sortCondition descending="1" ref="H3:H124"/>
  </sortState>
  <tableColumns count="4">
    <tableColumn id="1" xr3:uid="{570466AE-602F-4200-89ED-5E0CB2895DC5}" name="المهنة" dataDxfId="19"/>
    <tableColumn id="2" xr3:uid="{9661BCE2-4574-48AB-B77C-062D849F3001}" name="سعودي" dataDxfId="18"/>
    <tableColumn id="3" xr3:uid="{51493B3C-3170-4E17-92A5-15F9E30B1646}" name="مجموع العمالة " dataDxfId="17"/>
    <tableColumn id="4" xr3:uid="{3EB251FB-DBF1-4ABA-A8A9-D5B9C0AE5F8B}" name="نسبة التوطين" dataDxfId="16" dataCellStyle="Percent">
      <calculatedColumnFormula>G3/H3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A5A242-FD1A-417B-A5C6-AB4262DD2683}" name="Table5" displayName="Table5" ref="P2:S64" totalsRowShown="0" headerRowDxfId="15" dataDxfId="13" headerRowBorderDxfId="14" tableBorderDxfId="12">
  <autoFilter ref="P2:S64" xr:uid="{1CA5A242-FD1A-417B-A5C6-AB4262DD2683}"/>
  <sortState xmlns:xlrd2="http://schemas.microsoft.com/office/spreadsheetml/2017/richdata2" ref="P3:S64">
    <sortCondition descending="1" ref="Q3:Q65"/>
  </sortState>
  <tableColumns count="4">
    <tableColumn id="1" xr3:uid="{13B97914-CA8F-4C13-A627-B029725CA9AD}" name="المهنة" dataDxfId="11"/>
    <tableColumn id="2" xr3:uid="{0DEEDB68-BDF1-417D-9B57-AD602921F899}" name="سعودي" dataDxfId="10"/>
    <tableColumn id="3" xr3:uid="{885B6A3C-9B96-4F45-8045-37DBDC846209}" name="مجموع العمالة " dataDxfId="9"/>
    <tableColumn id="4" xr3:uid="{30F2EF82-74D3-45B3-9B92-4FF25ED355EB}" name="نسبة التوطين" dataDxfId="8" dataCellStyle="Percent">
      <calculatedColumnFormula>Q3/R3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36DDF1-0B98-43B4-A17E-36E850A9AE81}" name="Table6" displayName="Table6" ref="K2:N231" totalsRowShown="0" headerRowDxfId="7" dataDxfId="5" headerRowBorderDxfId="6" tableBorderDxfId="4">
  <autoFilter ref="K2:N231" xr:uid="{D936DDF1-0B98-43B4-A17E-36E850A9AE81}"/>
  <sortState xmlns:xlrd2="http://schemas.microsoft.com/office/spreadsheetml/2017/richdata2" ref="K3:N231">
    <sortCondition descending="1" ref="L3:L232"/>
  </sortState>
  <tableColumns count="4">
    <tableColumn id="1" xr3:uid="{FFB9C28D-A791-4DA3-9D56-37BF358FBCA9}" name="المهنة" dataDxfId="3"/>
    <tableColumn id="2" xr3:uid="{F32A7C2F-42E0-4F17-83D8-800E084287F5}" name="سعودي" dataDxfId="2"/>
    <tableColumn id="3" xr3:uid="{B27282FC-1524-4A40-B3A9-C6EE9165E9A8}" name="مجموع العمالة " dataDxfId="1"/>
    <tableColumn id="4" xr3:uid="{2BF1F7CE-4BAB-414D-903C-43D950394709}" name="نسبة التوطين" dataDxfId="0" dataCellStyle="Percent">
      <calculatedColumnFormula>Table6[[#This Row],[سعودي]]/Table6[[#This Row],[مجموع العمالة 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876104-EB4B-4132-B781-750EE242F8C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7d82cf9-5ec7-4369-bc21-8f13f7f758f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1"/>
  <sheetViews>
    <sheetView tabSelected="1" topLeftCell="C1" workbookViewId="0">
      <selection activeCell="F1" sqref="F1:I1"/>
    </sheetView>
  </sheetViews>
  <sheetFormatPr defaultRowHeight="16.5" x14ac:dyDescent="0.55000000000000004"/>
  <cols>
    <col min="1" max="1" width="24.7265625" style="3" bestFit="1" customWidth="1"/>
    <col min="2" max="4" width="9.08984375" style="3"/>
    <col min="5" max="5" width="9.08984375" style="1"/>
    <col min="6" max="6" width="23.36328125" style="2" bestFit="1" customWidth="1"/>
    <col min="7" max="10" width="9.08984375" style="2"/>
    <col min="11" max="11" width="27.08984375" style="3" bestFit="1" customWidth="1"/>
    <col min="12" max="12" width="9.08984375" style="3"/>
    <col min="13" max="14" width="9.08984375" style="2"/>
    <col min="15" max="15" width="9.08984375" style="1"/>
    <col min="16" max="16" width="30.81640625" style="3" bestFit="1" customWidth="1"/>
    <col min="17" max="19" width="9.08984375" style="3"/>
  </cols>
  <sheetData>
    <row r="1" spans="1:19" ht="21.5" thickBot="1" x14ac:dyDescent="0.75">
      <c r="A1" s="18" t="s">
        <v>0</v>
      </c>
      <c r="B1" s="19"/>
      <c r="C1" s="19"/>
      <c r="D1" s="20"/>
      <c r="F1" s="18" t="s">
        <v>1</v>
      </c>
      <c r="G1" s="19"/>
      <c r="H1" s="19"/>
      <c r="I1" s="20"/>
      <c r="K1" s="18" t="s">
        <v>2</v>
      </c>
      <c r="L1" s="19"/>
      <c r="M1" s="19"/>
      <c r="N1" s="20"/>
      <c r="P1" s="21" t="s">
        <v>3</v>
      </c>
      <c r="Q1" s="21"/>
      <c r="R1" s="21"/>
      <c r="S1" s="21"/>
    </row>
    <row r="2" spans="1:19" x14ac:dyDescent="0.55000000000000004">
      <c r="A2" s="3" t="s">
        <v>4</v>
      </c>
      <c r="B2" s="3" t="s">
        <v>5</v>
      </c>
      <c r="C2" s="3" t="s">
        <v>6</v>
      </c>
      <c r="D2" s="3" t="s">
        <v>7</v>
      </c>
      <c r="F2" s="2" t="s">
        <v>4</v>
      </c>
      <c r="G2" s="2" t="s">
        <v>5</v>
      </c>
      <c r="H2" s="2" t="s">
        <v>6</v>
      </c>
      <c r="I2" s="2" t="s">
        <v>7</v>
      </c>
      <c r="K2" s="4" t="s">
        <v>4</v>
      </c>
      <c r="L2" s="5" t="s">
        <v>5</v>
      </c>
      <c r="M2" s="5" t="s">
        <v>6</v>
      </c>
      <c r="N2" s="6" t="s">
        <v>7</v>
      </c>
      <c r="P2" s="4" t="s">
        <v>4</v>
      </c>
      <c r="Q2" s="7" t="s">
        <v>5</v>
      </c>
      <c r="R2" s="7" t="s">
        <v>6</v>
      </c>
      <c r="S2" s="8" t="s">
        <v>7</v>
      </c>
    </row>
    <row r="3" spans="1:19" x14ac:dyDescent="0.55000000000000004">
      <c r="A3" s="12" t="s">
        <v>8</v>
      </c>
      <c r="B3" s="12">
        <v>13856</v>
      </c>
      <c r="C3" s="12">
        <v>36046</v>
      </c>
      <c r="D3" s="13">
        <f t="shared" ref="D3:D66" si="0">B3/C3</f>
        <v>0.38439771403207013</v>
      </c>
      <c r="F3" s="14" t="s">
        <v>8</v>
      </c>
      <c r="G3" s="14">
        <v>18931</v>
      </c>
      <c r="H3" s="14">
        <v>36481</v>
      </c>
      <c r="I3" s="15">
        <f t="shared" ref="I3:I66" si="1">G3/H3</f>
        <v>0.51892766097420573</v>
      </c>
      <c r="K3" s="12" t="s">
        <v>8</v>
      </c>
      <c r="L3" s="12">
        <v>8149</v>
      </c>
      <c r="M3" s="16">
        <v>64248</v>
      </c>
      <c r="N3" s="17">
        <f>Table6[[#This Row],[سعودي]]/Table6[[#This Row],[مجموع العمالة ]]</f>
        <v>0.12683663304694309</v>
      </c>
      <c r="P3" s="12" t="s">
        <v>8</v>
      </c>
      <c r="Q3" s="12">
        <v>6418</v>
      </c>
      <c r="R3" s="12">
        <v>35454</v>
      </c>
      <c r="S3" s="13">
        <f t="shared" ref="S3:S34" si="2">Q3/R3</f>
        <v>0.18102329779432505</v>
      </c>
    </row>
    <row r="4" spans="1:19" x14ac:dyDescent="0.55000000000000004">
      <c r="A4" s="3" t="s">
        <v>9</v>
      </c>
      <c r="B4" s="3">
        <v>1459</v>
      </c>
      <c r="C4" s="3">
        <v>5484</v>
      </c>
      <c r="D4" s="9">
        <f t="shared" si="0"/>
        <v>0.26604668125455871</v>
      </c>
      <c r="F4" s="2" t="s">
        <v>10</v>
      </c>
      <c r="G4" s="2">
        <v>1639</v>
      </c>
      <c r="H4" s="2">
        <v>4590</v>
      </c>
      <c r="I4" s="10">
        <f t="shared" si="1"/>
        <v>0.35708061002178648</v>
      </c>
      <c r="K4" s="3" t="s">
        <v>11</v>
      </c>
      <c r="L4" s="3">
        <v>769</v>
      </c>
      <c r="M4" s="2">
        <v>934</v>
      </c>
      <c r="N4" s="10">
        <f>Table6[[#This Row],[سعودي]]/Table6[[#This Row],[مجموع العمالة ]]</f>
        <v>0.82334047109207709</v>
      </c>
      <c r="P4" s="3" t="s">
        <v>12</v>
      </c>
      <c r="Q4" s="3">
        <v>1475</v>
      </c>
      <c r="R4" s="3">
        <v>3371</v>
      </c>
      <c r="S4" s="9">
        <f t="shared" si="2"/>
        <v>0.43755562147730642</v>
      </c>
    </row>
    <row r="5" spans="1:19" x14ac:dyDescent="0.55000000000000004">
      <c r="A5" s="3" t="s">
        <v>13</v>
      </c>
      <c r="B5" s="3">
        <v>1856</v>
      </c>
      <c r="C5" s="3">
        <v>4493</v>
      </c>
      <c r="D5" s="9">
        <f t="shared" si="0"/>
        <v>0.41308702425995991</v>
      </c>
      <c r="F5" s="2" t="s">
        <v>14</v>
      </c>
      <c r="G5" s="2">
        <v>1961</v>
      </c>
      <c r="H5" s="2">
        <v>2329</v>
      </c>
      <c r="I5" s="10">
        <f t="shared" si="1"/>
        <v>0.84199227136109922</v>
      </c>
      <c r="K5" s="3" t="s">
        <v>15</v>
      </c>
      <c r="L5" s="3">
        <v>548</v>
      </c>
      <c r="M5" s="2">
        <v>1925</v>
      </c>
      <c r="N5" s="10">
        <f>Table6[[#This Row],[سعودي]]/Table6[[#This Row],[مجموع العمالة ]]</f>
        <v>0.28467532467532469</v>
      </c>
      <c r="P5" s="3" t="s">
        <v>16</v>
      </c>
      <c r="Q5" s="3">
        <v>1319</v>
      </c>
      <c r="R5" s="3">
        <v>1479</v>
      </c>
      <c r="S5" s="9">
        <f t="shared" si="2"/>
        <v>0.89181879648411089</v>
      </c>
    </row>
    <row r="6" spans="1:19" x14ac:dyDescent="0.55000000000000004">
      <c r="A6" s="3" t="s">
        <v>17</v>
      </c>
      <c r="B6" s="3">
        <v>938</v>
      </c>
      <c r="C6" s="3">
        <v>3650</v>
      </c>
      <c r="D6" s="9">
        <f t="shared" si="0"/>
        <v>0.256986301369863</v>
      </c>
      <c r="F6" s="2" t="s">
        <v>18</v>
      </c>
      <c r="G6" s="2">
        <v>1946</v>
      </c>
      <c r="H6" s="2">
        <v>2236</v>
      </c>
      <c r="I6" s="10">
        <f t="shared" si="1"/>
        <v>0.87030411449016098</v>
      </c>
      <c r="K6" s="3" t="s">
        <v>19</v>
      </c>
      <c r="L6" s="3">
        <v>484</v>
      </c>
      <c r="M6" s="2">
        <v>4592</v>
      </c>
      <c r="N6" s="10">
        <f>Table6[[#This Row],[سعودي]]/Table6[[#This Row],[مجموع العمالة ]]</f>
        <v>0.10540069686411149</v>
      </c>
      <c r="P6" s="3" t="s">
        <v>20</v>
      </c>
      <c r="Q6" s="3">
        <v>607</v>
      </c>
      <c r="R6" s="3">
        <v>3159</v>
      </c>
      <c r="S6" s="9">
        <f t="shared" si="2"/>
        <v>0.1921494143716366</v>
      </c>
    </row>
    <row r="7" spans="1:19" x14ac:dyDescent="0.55000000000000004">
      <c r="A7" s="3" t="s">
        <v>21</v>
      </c>
      <c r="B7" s="3">
        <v>1699</v>
      </c>
      <c r="C7" s="3">
        <v>2782</v>
      </c>
      <c r="D7" s="9">
        <f t="shared" si="0"/>
        <v>0.61071171818835368</v>
      </c>
      <c r="F7" s="2" t="s">
        <v>22</v>
      </c>
      <c r="G7" s="2">
        <v>289</v>
      </c>
      <c r="H7" s="2">
        <v>2174</v>
      </c>
      <c r="I7" s="10">
        <f t="shared" si="1"/>
        <v>0.1329346826126955</v>
      </c>
      <c r="K7" s="3" t="s">
        <v>23</v>
      </c>
      <c r="L7" s="3">
        <v>416</v>
      </c>
      <c r="M7" s="2">
        <v>577</v>
      </c>
      <c r="N7" s="10">
        <f>Table6[[#This Row],[سعودي]]/Table6[[#This Row],[مجموع العمالة ]]</f>
        <v>0.72097053726169846</v>
      </c>
      <c r="P7" s="3" t="s">
        <v>24</v>
      </c>
      <c r="Q7" s="3">
        <v>587</v>
      </c>
      <c r="R7" s="3">
        <v>1143</v>
      </c>
      <c r="S7" s="9">
        <f t="shared" si="2"/>
        <v>0.5135608048993876</v>
      </c>
    </row>
    <row r="8" spans="1:19" x14ac:dyDescent="0.55000000000000004">
      <c r="A8" s="3" t="s">
        <v>25</v>
      </c>
      <c r="B8" s="3">
        <v>1097</v>
      </c>
      <c r="C8" s="3">
        <v>2335</v>
      </c>
      <c r="D8" s="9">
        <f t="shared" si="0"/>
        <v>0.46980728051391862</v>
      </c>
      <c r="F8" s="2" t="s">
        <v>26</v>
      </c>
      <c r="G8" s="2">
        <v>401</v>
      </c>
      <c r="H8" s="2">
        <v>2115</v>
      </c>
      <c r="I8" s="10">
        <f t="shared" si="1"/>
        <v>0.18959810874704491</v>
      </c>
      <c r="K8" s="3" t="s">
        <v>27</v>
      </c>
      <c r="L8" s="3">
        <v>291</v>
      </c>
      <c r="M8" s="2">
        <v>1428</v>
      </c>
      <c r="N8" s="10">
        <f>Table6[[#This Row],[سعودي]]/Table6[[#This Row],[مجموع العمالة ]]</f>
        <v>0.20378151260504201</v>
      </c>
      <c r="P8" s="3" t="s">
        <v>28</v>
      </c>
      <c r="Q8" s="3">
        <v>516</v>
      </c>
      <c r="R8" s="3">
        <v>1378</v>
      </c>
      <c r="S8" s="9">
        <f t="shared" si="2"/>
        <v>0.37445573294629897</v>
      </c>
    </row>
    <row r="9" spans="1:19" x14ac:dyDescent="0.55000000000000004">
      <c r="A9" s="3" t="s">
        <v>29</v>
      </c>
      <c r="B9" s="3">
        <v>597</v>
      </c>
      <c r="C9" s="3">
        <v>1641</v>
      </c>
      <c r="D9" s="9">
        <f t="shared" si="0"/>
        <v>0.36380255941499084</v>
      </c>
      <c r="F9" s="2" t="s">
        <v>30</v>
      </c>
      <c r="G9" s="2">
        <v>966</v>
      </c>
      <c r="H9" s="2">
        <v>1761</v>
      </c>
      <c r="I9" s="10">
        <f t="shared" si="1"/>
        <v>0.54855195911413968</v>
      </c>
      <c r="K9" s="3" t="s">
        <v>31</v>
      </c>
      <c r="L9" s="3">
        <v>260</v>
      </c>
      <c r="M9" s="2">
        <v>2668</v>
      </c>
      <c r="N9" s="10">
        <f>Table6[[#This Row],[سعودي]]/Table6[[#This Row],[مجموع العمالة ]]</f>
        <v>9.7451274362818585E-2</v>
      </c>
      <c r="P9" s="3" t="s">
        <v>32</v>
      </c>
      <c r="Q9" s="3">
        <v>291</v>
      </c>
      <c r="R9" s="3">
        <v>394</v>
      </c>
      <c r="S9" s="9">
        <f t="shared" si="2"/>
        <v>0.73857868020304573</v>
      </c>
    </row>
    <row r="10" spans="1:19" x14ac:dyDescent="0.55000000000000004">
      <c r="A10" s="3" t="s">
        <v>33</v>
      </c>
      <c r="B10" s="3">
        <v>651</v>
      </c>
      <c r="C10" s="3">
        <v>1551</v>
      </c>
      <c r="D10" s="9">
        <f t="shared" si="0"/>
        <v>0.4197292069632495</v>
      </c>
      <c r="F10" s="2" t="s">
        <v>34</v>
      </c>
      <c r="G10" s="2">
        <v>1678</v>
      </c>
      <c r="H10" s="2">
        <v>1750</v>
      </c>
      <c r="I10" s="10">
        <f t="shared" si="1"/>
        <v>0.95885714285714285</v>
      </c>
      <c r="K10" s="3" t="s">
        <v>35</v>
      </c>
      <c r="L10" s="3">
        <v>258</v>
      </c>
      <c r="M10" s="2">
        <v>878</v>
      </c>
      <c r="N10" s="10">
        <f>Table6[[#This Row],[سعودي]]/Table6[[#This Row],[مجموع العمالة ]]</f>
        <v>0.29384965831435078</v>
      </c>
      <c r="P10" s="3" t="s">
        <v>36</v>
      </c>
      <c r="Q10" s="3">
        <v>285</v>
      </c>
      <c r="R10" s="3">
        <v>754</v>
      </c>
      <c r="S10" s="9">
        <f t="shared" si="2"/>
        <v>0.37798408488063662</v>
      </c>
    </row>
    <row r="11" spans="1:19" x14ac:dyDescent="0.55000000000000004">
      <c r="A11" s="3" t="s">
        <v>37</v>
      </c>
      <c r="B11" s="3">
        <v>733</v>
      </c>
      <c r="C11" s="3">
        <v>1435</v>
      </c>
      <c r="D11" s="9">
        <f t="shared" si="0"/>
        <v>0.51080139372822297</v>
      </c>
      <c r="F11" s="2" t="s">
        <v>38</v>
      </c>
      <c r="G11" s="2">
        <v>750</v>
      </c>
      <c r="H11" s="2">
        <v>1649</v>
      </c>
      <c r="I11" s="10">
        <f t="shared" si="1"/>
        <v>0.45482110369921164</v>
      </c>
      <c r="K11" s="3" t="s">
        <v>39</v>
      </c>
      <c r="L11" s="3">
        <v>250</v>
      </c>
      <c r="M11" s="2">
        <v>2958</v>
      </c>
      <c r="N11" s="10">
        <f>Table6[[#This Row],[سعودي]]/Table6[[#This Row],[مجموع العمالة ]]</f>
        <v>8.4516565246788369E-2</v>
      </c>
      <c r="P11" s="3" t="s">
        <v>40</v>
      </c>
      <c r="Q11" s="3">
        <v>145</v>
      </c>
      <c r="R11" s="3">
        <v>3343</v>
      </c>
      <c r="S11" s="9">
        <f t="shared" si="2"/>
        <v>4.3374214777146279E-2</v>
      </c>
    </row>
    <row r="12" spans="1:19" x14ac:dyDescent="0.55000000000000004">
      <c r="A12" s="3" t="s">
        <v>41</v>
      </c>
      <c r="B12" s="3">
        <v>498</v>
      </c>
      <c r="C12" s="3">
        <v>1270</v>
      </c>
      <c r="D12" s="9">
        <f t="shared" si="0"/>
        <v>0.39212598425196848</v>
      </c>
      <c r="F12" s="2" t="s">
        <v>42</v>
      </c>
      <c r="G12" s="2">
        <v>96</v>
      </c>
      <c r="H12" s="2">
        <v>1160</v>
      </c>
      <c r="I12" s="10">
        <f t="shared" si="1"/>
        <v>8.2758620689655171E-2</v>
      </c>
      <c r="K12" s="3" t="s">
        <v>43</v>
      </c>
      <c r="L12" s="3">
        <v>248</v>
      </c>
      <c r="M12" s="2">
        <v>1096</v>
      </c>
      <c r="N12" s="10">
        <f>Table6[[#This Row],[سعودي]]/Table6[[#This Row],[مجموع العمالة ]]</f>
        <v>0.22627737226277372</v>
      </c>
      <c r="P12" s="3" t="s">
        <v>44</v>
      </c>
      <c r="Q12" s="3">
        <v>145</v>
      </c>
      <c r="R12" s="3">
        <v>1266</v>
      </c>
      <c r="S12" s="9">
        <f t="shared" si="2"/>
        <v>0.11453396524486571</v>
      </c>
    </row>
    <row r="13" spans="1:19" x14ac:dyDescent="0.55000000000000004">
      <c r="A13" s="3" t="s">
        <v>45</v>
      </c>
      <c r="B13" s="3">
        <v>375</v>
      </c>
      <c r="C13" s="3">
        <v>1042</v>
      </c>
      <c r="D13" s="9">
        <f t="shared" si="0"/>
        <v>0.35988483685220729</v>
      </c>
      <c r="F13" s="2" t="s">
        <v>46</v>
      </c>
      <c r="G13" s="2">
        <v>653</v>
      </c>
      <c r="H13" s="2">
        <v>1151</v>
      </c>
      <c r="I13" s="10">
        <f t="shared" si="1"/>
        <v>0.56733275412684625</v>
      </c>
      <c r="K13" s="3" t="s">
        <v>47</v>
      </c>
      <c r="L13" s="3">
        <v>214</v>
      </c>
      <c r="M13" s="2">
        <v>800</v>
      </c>
      <c r="N13" s="10">
        <f>Table6[[#This Row],[سعودي]]/Table6[[#This Row],[مجموع العمالة ]]</f>
        <v>0.26750000000000002</v>
      </c>
      <c r="P13" s="3" t="s">
        <v>48</v>
      </c>
      <c r="Q13" s="3">
        <v>104</v>
      </c>
      <c r="R13" s="3">
        <v>365</v>
      </c>
      <c r="S13" s="9">
        <f t="shared" si="2"/>
        <v>0.28493150684931506</v>
      </c>
    </row>
    <row r="14" spans="1:19" x14ac:dyDescent="0.55000000000000004">
      <c r="A14" s="3" t="s">
        <v>49</v>
      </c>
      <c r="B14" s="3">
        <v>578</v>
      </c>
      <c r="C14" s="3">
        <v>935</v>
      </c>
      <c r="D14" s="9">
        <f t="shared" si="0"/>
        <v>0.61818181818181817</v>
      </c>
      <c r="F14" s="2" t="s">
        <v>50</v>
      </c>
      <c r="G14" s="2">
        <v>315</v>
      </c>
      <c r="H14" s="2">
        <v>1123</v>
      </c>
      <c r="I14" s="10">
        <f t="shared" si="1"/>
        <v>0.28049866429207482</v>
      </c>
      <c r="K14" s="3" t="s">
        <v>51</v>
      </c>
      <c r="L14" s="3">
        <v>183</v>
      </c>
      <c r="M14" s="2">
        <v>1694</v>
      </c>
      <c r="N14" s="10">
        <f>Table6[[#This Row],[سعودي]]/Table6[[#This Row],[مجموع العمالة ]]</f>
        <v>0.10802833530106257</v>
      </c>
      <c r="P14" s="3" t="s">
        <v>52</v>
      </c>
      <c r="Q14" s="3">
        <v>98</v>
      </c>
      <c r="R14" s="3">
        <v>1189</v>
      </c>
      <c r="S14" s="9">
        <f t="shared" si="2"/>
        <v>8.2422203532380153E-2</v>
      </c>
    </row>
    <row r="15" spans="1:19" x14ac:dyDescent="0.55000000000000004">
      <c r="A15" s="3" t="s">
        <v>53</v>
      </c>
      <c r="B15" s="3">
        <v>439</v>
      </c>
      <c r="C15" s="3">
        <v>784</v>
      </c>
      <c r="D15" s="9">
        <f t="shared" si="0"/>
        <v>0.55994897959183676</v>
      </c>
      <c r="F15" s="2" t="s">
        <v>54</v>
      </c>
      <c r="G15" s="2">
        <v>499</v>
      </c>
      <c r="H15" s="2">
        <v>923</v>
      </c>
      <c r="I15" s="10">
        <f t="shared" si="1"/>
        <v>0.54062838569880822</v>
      </c>
      <c r="K15" s="3" t="s">
        <v>55</v>
      </c>
      <c r="L15" s="3">
        <v>169</v>
      </c>
      <c r="M15" s="2">
        <v>736</v>
      </c>
      <c r="N15" s="10">
        <f>Table6[[#This Row],[سعودي]]/Table6[[#This Row],[مجموع العمالة ]]</f>
        <v>0.2296195652173913</v>
      </c>
      <c r="P15" s="3" t="s">
        <v>56</v>
      </c>
      <c r="Q15" s="3">
        <v>87</v>
      </c>
      <c r="R15" s="3">
        <v>2895</v>
      </c>
      <c r="S15" s="9">
        <f t="shared" si="2"/>
        <v>3.0051813471502591E-2</v>
      </c>
    </row>
    <row r="16" spans="1:19" x14ac:dyDescent="0.55000000000000004">
      <c r="A16" s="3" t="s">
        <v>57</v>
      </c>
      <c r="B16" s="3">
        <v>179</v>
      </c>
      <c r="C16" s="3">
        <v>783</v>
      </c>
      <c r="D16" s="9">
        <f t="shared" si="0"/>
        <v>0.22860791826309068</v>
      </c>
      <c r="F16" s="2" t="s">
        <v>58</v>
      </c>
      <c r="G16" s="2">
        <v>618</v>
      </c>
      <c r="H16" s="2">
        <v>820</v>
      </c>
      <c r="I16" s="10">
        <f t="shared" si="1"/>
        <v>0.75365853658536586</v>
      </c>
      <c r="K16" s="3" t="s">
        <v>59</v>
      </c>
      <c r="L16" s="3">
        <v>167</v>
      </c>
      <c r="M16" s="2">
        <v>809</v>
      </c>
      <c r="N16" s="10">
        <f>Table6[[#This Row],[سعودي]]/Table6[[#This Row],[مجموع العمالة ]]</f>
        <v>0.20642768850432633</v>
      </c>
      <c r="P16" s="3" t="s">
        <v>60</v>
      </c>
      <c r="Q16" s="3">
        <v>87</v>
      </c>
      <c r="R16" s="3">
        <v>1903</v>
      </c>
      <c r="S16" s="9">
        <f t="shared" si="2"/>
        <v>4.5717288491854968E-2</v>
      </c>
    </row>
    <row r="17" spans="1:19" x14ac:dyDescent="0.55000000000000004">
      <c r="A17" s="3" t="s">
        <v>61</v>
      </c>
      <c r="B17" s="3">
        <v>124</v>
      </c>
      <c r="C17" s="3">
        <v>749</v>
      </c>
      <c r="D17" s="9">
        <f t="shared" si="0"/>
        <v>0.16555407209612816</v>
      </c>
      <c r="F17" s="2" t="s">
        <v>62</v>
      </c>
      <c r="G17" s="2">
        <v>441</v>
      </c>
      <c r="H17" s="2">
        <v>797</v>
      </c>
      <c r="I17" s="10">
        <f t="shared" si="1"/>
        <v>0.55332496863237135</v>
      </c>
      <c r="K17" s="3" t="s">
        <v>63</v>
      </c>
      <c r="L17" s="3">
        <v>148</v>
      </c>
      <c r="M17" s="2">
        <v>392</v>
      </c>
      <c r="N17" s="10">
        <f>Table6[[#This Row],[سعودي]]/Table6[[#This Row],[مجموع العمالة ]]</f>
        <v>0.37755102040816324</v>
      </c>
      <c r="P17" s="3" t="s">
        <v>64</v>
      </c>
      <c r="Q17" s="3">
        <v>75</v>
      </c>
      <c r="R17" s="3">
        <v>776</v>
      </c>
      <c r="S17" s="9">
        <f t="shared" si="2"/>
        <v>9.6649484536082478E-2</v>
      </c>
    </row>
    <row r="18" spans="1:19" x14ac:dyDescent="0.55000000000000004">
      <c r="A18" s="3" t="s">
        <v>65</v>
      </c>
      <c r="B18" s="3">
        <v>224</v>
      </c>
      <c r="C18" s="3">
        <v>589</v>
      </c>
      <c r="D18" s="9">
        <f t="shared" si="0"/>
        <v>0.38030560271646857</v>
      </c>
      <c r="F18" s="2" t="s">
        <v>66</v>
      </c>
      <c r="G18" s="2">
        <v>480</v>
      </c>
      <c r="H18" s="2">
        <v>718</v>
      </c>
      <c r="I18" s="10">
        <f t="shared" si="1"/>
        <v>0.66852367688022285</v>
      </c>
      <c r="K18" s="3" t="s">
        <v>67</v>
      </c>
      <c r="L18" s="3">
        <v>137</v>
      </c>
      <c r="M18" s="2">
        <v>391</v>
      </c>
      <c r="N18" s="10">
        <f>Table6[[#This Row],[سعودي]]/Table6[[#This Row],[مجموع العمالة ]]</f>
        <v>0.35038363171355497</v>
      </c>
      <c r="P18" s="3" t="s">
        <v>68</v>
      </c>
      <c r="Q18" s="3">
        <v>68</v>
      </c>
      <c r="R18" s="3">
        <v>388</v>
      </c>
      <c r="S18" s="9">
        <f t="shared" si="2"/>
        <v>0.17525773195876287</v>
      </c>
    </row>
    <row r="19" spans="1:19" x14ac:dyDescent="0.55000000000000004">
      <c r="A19" s="3" t="s">
        <v>69</v>
      </c>
      <c r="B19" s="3">
        <v>135</v>
      </c>
      <c r="C19" s="3">
        <v>559</v>
      </c>
      <c r="D19" s="9">
        <f t="shared" si="0"/>
        <v>0.24150268336314848</v>
      </c>
      <c r="F19" s="2" t="s">
        <v>70</v>
      </c>
      <c r="G19" s="2">
        <v>464</v>
      </c>
      <c r="H19" s="2">
        <v>658</v>
      </c>
      <c r="I19" s="10">
        <f t="shared" si="1"/>
        <v>0.70516717325227962</v>
      </c>
      <c r="K19" s="3" t="s">
        <v>71</v>
      </c>
      <c r="L19" s="3">
        <v>125</v>
      </c>
      <c r="M19" s="2">
        <v>383</v>
      </c>
      <c r="N19" s="10">
        <f>Table6[[#This Row],[سعودي]]/Table6[[#This Row],[مجموع العمالة ]]</f>
        <v>0.32637075718015668</v>
      </c>
      <c r="P19" s="3" t="s">
        <v>72</v>
      </c>
      <c r="Q19" s="3">
        <v>58</v>
      </c>
      <c r="R19" s="3">
        <v>2894</v>
      </c>
      <c r="S19" s="9">
        <f t="shared" si="2"/>
        <v>2.0041465100207326E-2</v>
      </c>
    </row>
    <row r="20" spans="1:19" x14ac:dyDescent="0.55000000000000004">
      <c r="A20" s="3" t="s">
        <v>73</v>
      </c>
      <c r="B20" s="3">
        <v>143</v>
      </c>
      <c r="C20" s="3">
        <v>460</v>
      </c>
      <c r="D20" s="9">
        <f t="shared" si="0"/>
        <v>0.31086956521739129</v>
      </c>
      <c r="F20" s="2" t="s">
        <v>74</v>
      </c>
      <c r="G20" s="2">
        <v>174</v>
      </c>
      <c r="H20" s="2">
        <v>633</v>
      </c>
      <c r="I20" s="10">
        <f t="shared" si="1"/>
        <v>0.27488151658767773</v>
      </c>
      <c r="K20" s="3" t="s">
        <v>75</v>
      </c>
      <c r="L20" s="3">
        <v>122</v>
      </c>
      <c r="M20" s="2">
        <v>429</v>
      </c>
      <c r="N20" s="10">
        <f>Table6[[#This Row],[سعودي]]/Table6[[#This Row],[مجموع العمالة ]]</f>
        <v>0.28438228438228436</v>
      </c>
      <c r="P20" s="3" t="s">
        <v>76</v>
      </c>
      <c r="Q20" s="3">
        <v>58</v>
      </c>
      <c r="R20" s="3">
        <v>226</v>
      </c>
      <c r="S20" s="9">
        <f t="shared" si="2"/>
        <v>0.25663716814159293</v>
      </c>
    </row>
    <row r="21" spans="1:19" x14ac:dyDescent="0.55000000000000004">
      <c r="A21" s="3" t="s">
        <v>77</v>
      </c>
      <c r="B21" s="3">
        <v>158</v>
      </c>
      <c r="C21" s="3">
        <v>400</v>
      </c>
      <c r="D21" s="9">
        <f t="shared" si="0"/>
        <v>0.39500000000000002</v>
      </c>
      <c r="F21" s="2" t="s">
        <v>78</v>
      </c>
      <c r="G21" s="2">
        <v>223</v>
      </c>
      <c r="H21" s="2">
        <v>572</v>
      </c>
      <c r="I21" s="10">
        <f t="shared" si="1"/>
        <v>0.38986013986013984</v>
      </c>
      <c r="K21" s="3" t="s">
        <v>79</v>
      </c>
      <c r="L21" s="3">
        <v>121</v>
      </c>
      <c r="M21" s="2">
        <v>1495</v>
      </c>
      <c r="N21" s="10">
        <f>Table6[[#This Row],[سعودي]]/Table6[[#This Row],[مجموع العمالة ]]</f>
        <v>8.0936454849498324E-2</v>
      </c>
      <c r="P21" s="3" t="s">
        <v>80</v>
      </c>
      <c r="Q21" s="3">
        <v>52</v>
      </c>
      <c r="R21" s="3">
        <v>444</v>
      </c>
      <c r="S21" s="9">
        <f t="shared" si="2"/>
        <v>0.11711711711711711</v>
      </c>
    </row>
    <row r="22" spans="1:19" x14ac:dyDescent="0.55000000000000004">
      <c r="A22" s="3" t="s">
        <v>81</v>
      </c>
      <c r="B22" s="3">
        <v>172</v>
      </c>
      <c r="C22" s="3">
        <v>395</v>
      </c>
      <c r="D22" s="9">
        <f t="shared" si="0"/>
        <v>0.43544303797468353</v>
      </c>
      <c r="F22" s="2" t="s">
        <v>82</v>
      </c>
      <c r="G22" s="2">
        <v>480</v>
      </c>
      <c r="H22" s="2">
        <v>527</v>
      </c>
      <c r="I22" s="10">
        <f t="shared" si="1"/>
        <v>0.91081593927893734</v>
      </c>
      <c r="K22" s="3" t="s">
        <v>83</v>
      </c>
      <c r="L22" s="3">
        <v>114</v>
      </c>
      <c r="M22" s="2">
        <v>246</v>
      </c>
      <c r="N22" s="10">
        <f>Table6[[#This Row],[سعودي]]/Table6[[#This Row],[مجموع العمالة ]]</f>
        <v>0.46341463414634149</v>
      </c>
      <c r="P22" s="3" t="s">
        <v>84</v>
      </c>
      <c r="Q22" s="3">
        <v>48</v>
      </c>
      <c r="R22" s="3">
        <v>1168</v>
      </c>
      <c r="S22" s="9">
        <f t="shared" si="2"/>
        <v>4.1095890410958902E-2</v>
      </c>
    </row>
    <row r="23" spans="1:19" x14ac:dyDescent="0.55000000000000004">
      <c r="A23" s="3" t="s">
        <v>85</v>
      </c>
      <c r="B23" s="3">
        <v>55</v>
      </c>
      <c r="C23" s="3">
        <v>376</v>
      </c>
      <c r="D23" s="9">
        <f t="shared" si="0"/>
        <v>0.14627659574468085</v>
      </c>
      <c r="F23" s="2" t="s">
        <v>86</v>
      </c>
      <c r="G23" s="2">
        <v>392</v>
      </c>
      <c r="H23" s="2">
        <v>416</v>
      </c>
      <c r="I23" s="10">
        <f t="shared" si="1"/>
        <v>0.94230769230769229</v>
      </c>
      <c r="K23" s="3" t="s">
        <v>87</v>
      </c>
      <c r="L23" s="3">
        <v>111</v>
      </c>
      <c r="M23" s="2">
        <v>1025</v>
      </c>
      <c r="N23" s="10">
        <f>Table6[[#This Row],[سعودي]]/Table6[[#This Row],[مجموع العمالة ]]</f>
        <v>0.10829268292682927</v>
      </c>
      <c r="P23" s="3" t="s">
        <v>88</v>
      </c>
      <c r="Q23" s="3">
        <v>46</v>
      </c>
      <c r="R23" s="3">
        <v>235</v>
      </c>
      <c r="S23" s="9">
        <f t="shared" si="2"/>
        <v>0.19574468085106383</v>
      </c>
    </row>
    <row r="24" spans="1:19" x14ac:dyDescent="0.55000000000000004">
      <c r="A24" s="3" t="s">
        <v>89</v>
      </c>
      <c r="B24" s="3">
        <v>91</v>
      </c>
      <c r="C24" s="3">
        <v>253</v>
      </c>
      <c r="D24" s="9">
        <f t="shared" si="0"/>
        <v>0.35968379446640314</v>
      </c>
      <c r="F24" s="2" t="s">
        <v>90</v>
      </c>
      <c r="G24" s="2">
        <v>232</v>
      </c>
      <c r="H24" s="2">
        <v>399</v>
      </c>
      <c r="I24" s="10">
        <f t="shared" si="1"/>
        <v>0.581453634085213</v>
      </c>
      <c r="K24" s="3" t="s">
        <v>91</v>
      </c>
      <c r="L24" s="3">
        <v>102</v>
      </c>
      <c r="M24" s="2">
        <v>264</v>
      </c>
      <c r="N24" s="10">
        <f>Table6[[#This Row],[سعودي]]/Table6[[#This Row],[مجموع العمالة ]]</f>
        <v>0.38636363636363635</v>
      </c>
      <c r="P24" s="3" t="s">
        <v>92</v>
      </c>
      <c r="Q24" s="3">
        <v>29</v>
      </c>
      <c r="R24" s="3">
        <v>153</v>
      </c>
      <c r="S24" s="9">
        <f t="shared" si="2"/>
        <v>0.18954248366013071</v>
      </c>
    </row>
    <row r="25" spans="1:19" x14ac:dyDescent="0.55000000000000004">
      <c r="A25" s="3" t="s">
        <v>93</v>
      </c>
      <c r="B25" s="3">
        <v>88</v>
      </c>
      <c r="C25" s="3">
        <v>207</v>
      </c>
      <c r="D25" s="9">
        <f t="shared" si="0"/>
        <v>0.4251207729468599</v>
      </c>
      <c r="F25" s="2" t="s">
        <v>94</v>
      </c>
      <c r="G25" s="2">
        <v>108</v>
      </c>
      <c r="H25" s="2">
        <v>383</v>
      </c>
      <c r="I25" s="10">
        <f t="shared" si="1"/>
        <v>0.28198433420365537</v>
      </c>
      <c r="K25" s="3" t="s">
        <v>95</v>
      </c>
      <c r="L25" s="3">
        <v>96</v>
      </c>
      <c r="M25" s="2">
        <v>360</v>
      </c>
      <c r="N25" s="10">
        <f>Table6[[#This Row],[سعودي]]/Table6[[#This Row],[مجموع العمالة ]]</f>
        <v>0.26666666666666666</v>
      </c>
      <c r="P25" s="3" t="s">
        <v>96</v>
      </c>
      <c r="Q25" s="3">
        <v>25</v>
      </c>
      <c r="R25" s="3">
        <v>99</v>
      </c>
      <c r="S25" s="9">
        <f t="shared" si="2"/>
        <v>0.25252525252525254</v>
      </c>
    </row>
    <row r="26" spans="1:19" x14ac:dyDescent="0.55000000000000004">
      <c r="A26" s="3" t="s">
        <v>97</v>
      </c>
      <c r="B26" s="3">
        <v>37</v>
      </c>
      <c r="C26" s="3">
        <v>197</v>
      </c>
      <c r="D26" s="9">
        <f t="shared" si="0"/>
        <v>0.18781725888324874</v>
      </c>
      <c r="F26" s="2" t="s">
        <v>98</v>
      </c>
      <c r="G26" s="2">
        <v>231</v>
      </c>
      <c r="H26" s="2">
        <v>376</v>
      </c>
      <c r="I26" s="10">
        <f t="shared" si="1"/>
        <v>0.61436170212765961</v>
      </c>
      <c r="K26" s="3" t="s">
        <v>99</v>
      </c>
      <c r="L26" s="3">
        <v>87</v>
      </c>
      <c r="M26" s="2">
        <v>691</v>
      </c>
      <c r="N26" s="10">
        <f>Table6[[#This Row],[سعودي]]/Table6[[#This Row],[مجموع العمالة ]]</f>
        <v>0.12590448625180897</v>
      </c>
      <c r="P26" s="3" t="s">
        <v>100</v>
      </c>
      <c r="Q26" s="3">
        <v>22</v>
      </c>
      <c r="R26" s="3">
        <v>82</v>
      </c>
      <c r="S26" s="9">
        <f t="shared" si="2"/>
        <v>0.26829268292682928</v>
      </c>
    </row>
    <row r="27" spans="1:19" x14ac:dyDescent="0.55000000000000004">
      <c r="A27" s="3" t="s">
        <v>101</v>
      </c>
      <c r="B27" s="3">
        <v>38</v>
      </c>
      <c r="C27" s="3">
        <v>185</v>
      </c>
      <c r="D27" s="9">
        <f t="shared" si="0"/>
        <v>0.20540540540540542</v>
      </c>
      <c r="F27" s="2" t="s">
        <v>102</v>
      </c>
      <c r="G27" s="2">
        <v>224</v>
      </c>
      <c r="H27" s="2">
        <v>367</v>
      </c>
      <c r="I27" s="10">
        <f t="shared" si="1"/>
        <v>0.61035422343324253</v>
      </c>
      <c r="K27" s="3" t="s">
        <v>103</v>
      </c>
      <c r="L27" s="3">
        <v>86</v>
      </c>
      <c r="M27" s="2">
        <v>312</v>
      </c>
      <c r="N27" s="10">
        <f>Table6[[#This Row],[سعودي]]/Table6[[#This Row],[مجموع العمالة ]]</f>
        <v>0.27564102564102566</v>
      </c>
      <c r="P27" s="3" t="s">
        <v>104</v>
      </c>
      <c r="Q27" s="3">
        <v>21</v>
      </c>
      <c r="R27" s="3">
        <v>213</v>
      </c>
      <c r="S27" s="9">
        <f t="shared" si="2"/>
        <v>9.8591549295774641E-2</v>
      </c>
    </row>
    <row r="28" spans="1:19" x14ac:dyDescent="0.55000000000000004">
      <c r="A28" s="3" t="s">
        <v>105</v>
      </c>
      <c r="B28" s="3">
        <v>134</v>
      </c>
      <c r="C28" s="3">
        <v>177</v>
      </c>
      <c r="D28" s="9">
        <f t="shared" si="0"/>
        <v>0.75706214689265539</v>
      </c>
      <c r="F28" s="2" t="s">
        <v>106</v>
      </c>
      <c r="G28" s="2">
        <v>206</v>
      </c>
      <c r="H28" s="2">
        <v>348</v>
      </c>
      <c r="I28" s="10">
        <f t="shared" si="1"/>
        <v>0.59195402298850575</v>
      </c>
      <c r="K28" s="3" t="s">
        <v>107</v>
      </c>
      <c r="L28" s="3">
        <v>84</v>
      </c>
      <c r="M28" s="2">
        <v>303</v>
      </c>
      <c r="N28" s="10">
        <f>Table6[[#This Row],[سعودي]]/Table6[[#This Row],[مجموع العمالة ]]</f>
        <v>0.27722772277227725</v>
      </c>
      <c r="P28" s="3" t="s">
        <v>108</v>
      </c>
      <c r="Q28" s="3">
        <v>16</v>
      </c>
      <c r="R28" s="3">
        <v>1080</v>
      </c>
      <c r="S28" s="9">
        <f t="shared" si="2"/>
        <v>1.4814814814814815E-2</v>
      </c>
    </row>
    <row r="29" spans="1:19" x14ac:dyDescent="0.55000000000000004">
      <c r="A29" s="3" t="s">
        <v>109</v>
      </c>
      <c r="B29" s="3">
        <v>46</v>
      </c>
      <c r="C29" s="3">
        <v>169</v>
      </c>
      <c r="D29" s="9">
        <f t="shared" si="0"/>
        <v>0.27218934911242604</v>
      </c>
      <c r="F29" s="2" t="s">
        <v>110</v>
      </c>
      <c r="G29" s="2">
        <v>90</v>
      </c>
      <c r="H29" s="2">
        <v>330</v>
      </c>
      <c r="I29" s="10">
        <f t="shared" si="1"/>
        <v>0.27272727272727271</v>
      </c>
      <c r="K29" s="3" t="s">
        <v>111</v>
      </c>
      <c r="L29" s="3">
        <v>83</v>
      </c>
      <c r="M29" s="2">
        <v>2619</v>
      </c>
      <c r="N29" s="10">
        <f>Table6[[#This Row],[سعودي]]/Table6[[#This Row],[مجموع العمالة ]]</f>
        <v>3.1691485299732723E-2</v>
      </c>
      <c r="P29" s="3" t="s">
        <v>112</v>
      </c>
      <c r="Q29" s="3">
        <v>15</v>
      </c>
      <c r="R29" s="3">
        <v>21</v>
      </c>
      <c r="S29" s="9">
        <f t="shared" si="2"/>
        <v>0.7142857142857143</v>
      </c>
    </row>
    <row r="30" spans="1:19" x14ac:dyDescent="0.55000000000000004">
      <c r="A30" s="3" t="s">
        <v>113</v>
      </c>
      <c r="B30" s="3">
        <v>59</v>
      </c>
      <c r="C30" s="3">
        <v>165</v>
      </c>
      <c r="D30" s="9">
        <f t="shared" si="0"/>
        <v>0.3575757575757576</v>
      </c>
      <c r="F30" s="2" t="s">
        <v>114</v>
      </c>
      <c r="G30" s="2">
        <v>197</v>
      </c>
      <c r="H30" s="2">
        <v>307</v>
      </c>
      <c r="I30" s="10">
        <f t="shared" si="1"/>
        <v>0.64169381107491852</v>
      </c>
      <c r="K30" s="3" t="s">
        <v>115</v>
      </c>
      <c r="L30" s="3">
        <v>76</v>
      </c>
      <c r="M30" s="2">
        <v>1854</v>
      </c>
      <c r="N30" s="10">
        <f>Table6[[#This Row],[سعودي]]/Table6[[#This Row],[مجموع العمالة ]]</f>
        <v>4.0992448759439054E-2</v>
      </c>
      <c r="P30" s="3" t="s">
        <v>116</v>
      </c>
      <c r="Q30" s="3">
        <v>14</v>
      </c>
      <c r="R30" s="3">
        <v>74</v>
      </c>
      <c r="S30" s="9">
        <f t="shared" si="2"/>
        <v>0.1891891891891892</v>
      </c>
    </row>
    <row r="31" spans="1:19" x14ac:dyDescent="0.55000000000000004">
      <c r="A31" s="3" t="s">
        <v>117</v>
      </c>
      <c r="B31" s="3">
        <v>24</v>
      </c>
      <c r="C31" s="3">
        <v>157</v>
      </c>
      <c r="D31" s="9">
        <f t="shared" si="0"/>
        <v>0.15286624203821655</v>
      </c>
      <c r="F31" s="2" t="s">
        <v>118</v>
      </c>
      <c r="G31" s="2">
        <v>152</v>
      </c>
      <c r="H31" s="2">
        <v>236</v>
      </c>
      <c r="I31" s="10">
        <f t="shared" si="1"/>
        <v>0.64406779661016944</v>
      </c>
      <c r="K31" s="3" t="s">
        <v>119</v>
      </c>
      <c r="L31" s="3">
        <v>76</v>
      </c>
      <c r="M31" s="2">
        <v>181</v>
      </c>
      <c r="N31" s="10">
        <f>Table6[[#This Row],[سعودي]]/Table6[[#This Row],[مجموع العمالة ]]</f>
        <v>0.41988950276243092</v>
      </c>
      <c r="P31" s="3" t="s">
        <v>120</v>
      </c>
      <c r="Q31" s="3">
        <v>13</v>
      </c>
      <c r="R31" s="3">
        <v>116</v>
      </c>
      <c r="S31" s="9">
        <f t="shared" si="2"/>
        <v>0.11206896551724138</v>
      </c>
    </row>
    <row r="32" spans="1:19" x14ac:dyDescent="0.55000000000000004">
      <c r="A32" s="3" t="s">
        <v>121</v>
      </c>
      <c r="B32" s="3">
        <v>56</v>
      </c>
      <c r="C32" s="3">
        <v>152</v>
      </c>
      <c r="D32" s="9">
        <f t="shared" si="0"/>
        <v>0.36842105263157893</v>
      </c>
      <c r="F32" s="2" t="s">
        <v>122</v>
      </c>
      <c r="G32" s="2">
        <v>148</v>
      </c>
      <c r="H32" s="2">
        <v>233</v>
      </c>
      <c r="I32" s="10">
        <f t="shared" si="1"/>
        <v>0.63519313304721026</v>
      </c>
      <c r="K32" s="3" t="s">
        <v>123</v>
      </c>
      <c r="L32" s="3">
        <v>71</v>
      </c>
      <c r="M32" s="2">
        <v>209</v>
      </c>
      <c r="N32" s="10">
        <f>Table6[[#This Row],[سعودي]]/Table6[[#This Row],[مجموع العمالة ]]</f>
        <v>0.33971291866028708</v>
      </c>
      <c r="P32" s="3" t="s">
        <v>124</v>
      </c>
      <c r="Q32" s="3">
        <v>13</v>
      </c>
      <c r="R32" s="3">
        <v>82</v>
      </c>
      <c r="S32" s="9">
        <f t="shared" si="2"/>
        <v>0.15853658536585366</v>
      </c>
    </row>
    <row r="33" spans="1:19" x14ac:dyDescent="0.55000000000000004">
      <c r="A33" s="3" t="s">
        <v>125</v>
      </c>
      <c r="B33" s="3">
        <v>100</v>
      </c>
      <c r="C33" s="3">
        <v>134</v>
      </c>
      <c r="D33" s="9">
        <f t="shared" si="0"/>
        <v>0.74626865671641796</v>
      </c>
      <c r="F33" s="2" t="s">
        <v>126</v>
      </c>
      <c r="G33" s="2">
        <v>204</v>
      </c>
      <c r="H33" s="2">
        <v>217</v>
      </c>
      <c r="I33" s="10">
        <f t="shared" si="1"/>
        <v>0.94009216589861755</v>
      </c>
      <c r="K33" s="3" t="s">
        <v>127</v>
      </c>
      <c r="L33" s="3">
        <v>67</v>
      </c>
      <c r="M33" s="2">
        <v>1182</v>
      </c>
      <c r="N33" s="10">
        <f>Table6[[#This Row],[سعودي]]/Table6[[#This Row],[مجموع العمالة ]]</f>
        <v>5.6683587140439931E-2</v>
      </c>
      <c r="P33" s="3" t="s">
        <v>128</v>
      </c>
      <c r="Q33" s="3">
        <v>12</v>
      </c>
      <c r="R33" s="3">
        <v>152</v>
      </c>
      <c r="S33" s="9">
        <f t="shared" si="2"/>
        <v>7.8947368421052627E-2</v>
      </c>
    </row>
    <row r="34" spans="1:19" x14ac:dyDescent="0.55000000000000004">
      <c r="A34" s="3" t="s">
        <v>129</v>
      </c>
      <c r="B34" s="3">
        <v>9</v>
      </c>
      <c r="C34" s="3">
        <v>130</v>
      </c>
      <c r="D34" s="9">
        <f t="shared" si="0"/>
        <v>6.9230769230769235E-2</v>
      </c>
      <c r="F34" s="2" t="s">
        <v>130</v>
      </c>
      <c r="G34" s="2">
        <v>196</v>
      </c>
      <c r="H34" s="2">
        <v>204</v>
      </c>
      <c r="I34" s="10">
        <f t="shared" si="1"/>
        <v>0.96078431372549022</v>
      </c>
      <c r="K34" s="3" t="s">
        <v>131</v>
      </c>
      <c r="L34" s="3">
        <v>61</v>
      </c>
      <c r="M34" s="2">
        <v>256</v>
      </c>
      <c r="N34" s="10">
        <f>Table6[[#This Row],[سعودي]]/Table6[[#This Row],[مجموع العمالة ]]</f>
        <v>0.23828125</v>
      </c>
      <c r="P34" s="3" t="s">
        <v>132</v>
      </c>
      <c r="Q34" s="3">
        <v>10</v>
      </c>
      <c r="R34" s="3">
        <v>21</v>
      </c>
      <c r="S34" s="9">
        <f t="shared" si="2"/>
        <v>0.47619047619047616</v>
      </c>
    </row>
    <row r="35" spans="1:19" x14ac:dyDescent="0.55000000000000004">
      <c r="A35" s="3" t="s">
        <v>133</v>
      </c>
      <c r="B35" s="3">
        <v>35</v>
      </c>
      <c r="C35" s="3">
        <v>119</v>
      </c>
      <c r="D35" s="9">
        <f t="shared" si="0"/>
        <v>0.29411764705882354</v>
      </c>
      <c r="F35" s="2" t="s">
        <v>134</v>
      </c>
      <c r="G35" s="2">
        <v>35</v>
      </c>
      <c r="H35" s="2">
        <v>190</v>
      </c>
      <c r="I35" s="10">
        <f t="shared" si="1"/>
        <v>0.18421052631578946</v>
      </c>
      <c r="K35" s="3" t="s">
        <v>135</v>
      </c>
      <c r="L35" s="3">
        <v>60</v>
      </c>
      <c r="M35" s="2">
        <v>484</v>
      </c>
      <c r="N35" s="10">
        <f>Table6[[#This Row],[سعودي]]/Table6[[#This Row],[مجموع العمالة ]]</f>
        <v>0.12396694214876033</v>
      </c>
      <c r="P35" s="3" t="s">
        <v>136</v>
      </c>
      <c r="Q35" s="3">
        <v>9</v>
      </c>
      <c r="R35" s="3">
        <v>26</v>
      </c>
      <c r="S35" s="9">
        <f t="shared" ref="S35:S66" si="3">Q35/R35</f>
        <v>0.34615384615384615</v>
      </c>
    </row>
    <row r="36" spans="1:19" x14ac:dyDescent="0.55000000000000004">
      <c r="A36" s="3" t="s">
        <v>137</v>
      </c>
      <c r="B36" s="3">
        <v>82</v>
      </c>
      <c r="C36" s="3">
        <v>118</v>
      </c>
      <c r="D36" s="9">
        <f t="shared" si="0"/>
        <v>0.69491525423728817</v>
      </c>
      <c r="F36" s="2" t="s">
        <v>138</v>
      </c>
      <c r="G36" s="2">
        <v>60</v>
      </c>
      <c r="H36" s="2">
        <v>183</v>
      </c>
      <c r="I36" s="10">
        <f t="shared" si="1"/>
        <v>0.32786885245901637</v>
      </c>
      <c r="K36" s="3" t="s">
        <v>139</v>
      </c>
      <c r="L36" s="3">
        <v>57</v>
      </c>
      <c r="M36" s="2">
        <v>145</v>
      </c>
      <c r="N36" s="10">
        <f>Table6[[#This Row],[سعودي]]/Table6[[#This Row],[مجموع العمالة ]]</f>
        <v>0.39310344827586208</v>
      </c>
      <c r="P36" s="3" t="s">
        <v>140</v>
      </c>
      <c r="Q36" s="3">
        <v>8</v>
      </c>
      <c r="R36" s="3">
        <v>66</v>
      </c>
      <c r="S36" s="9">
        <f t="shared" si="3"/>
        <v>0.12121212121212122</v>
      </c>
    </row>
    <row r="37" spans="1:19" x14ac:dyDescent="0.55000000000000004">
      <c r="A37" s="3" t="s">
        <v>141</v>
      </c>
      <c r="B37" s="3">
        <v>46</v>
      </c>
      <c r="C37" s="3">
        <v>113</v>
      </c>
      <c r="D37" s="9">
        <f t="shared" si="0"/>
        <v>0.40707964601769914</v>
      </c>
      <c r="F37" s="2" t="s">
        <v>142</v>
      </c>
      <c r="G37" s="2">
        <v>122</v>
      </c>
      <c r="H37" s="2">
        <v>180</v>
      </c>
      <c r="I37" s="10">
        <f t="shared" si="1"/>
        <v>0.67777777777777781</v>
      </c>
      <c r="K37" s="3" t="s">
        <v>143</v>
      </c>
      <c r="L37" s="3">
        <v>56</v>
      </c>
      <c r="M37" s="2">
        <v>197</v>
      </c>
      <c r="N37" s="10">
        <f>Table6[[#This Row],[سعودي]]/Table6[[#This Row],[مجموع العمالة ]]</f>
        <v>0.28426395939086296</v>
      </c>
      <c r="P37" s="3" t="s">
        <v>144</v>
      </c>
      <c r="Q37" s="3">
        <v>7</v>
      </c>
      <c r="R37" s="3">
        <v>122</v>
      </c>
      <c r="S37" s="9">
        <f t="shared" si="3"/>
        <v>5.737704918032787E-2</v>
      </c>
    </row>
    <row r="38" spans="1:19" x14ac:dyDescent="0.55000000000000004">
      <c r="A38" s="3" t="s">
        <v>145</v>
      </c>
      <c r="B38" s="3">
        <v>55</v>
      </c>
      <c r="C38" s="3">
        <v>113</v>
      </c>
      <c r="D38" s="9">
        <f t="shared" si="0"/>
        <v>0.48672566371681414</v>
      </c>
      <c r="F38" s="2" t="s">
        <v>146</v>
      </c>
      <c r="G38" s="2">
        <v>96</v>
      </c>
      <c r="H38" s="2">
        <v>178</v>
      </c>
      <c r="I38" s="10">
        <f t="shared" si="1"/>
        <v>0.5393258426966292</v>
      </c>
      <c r="K38" s="3" t="s">
        <v>147</v>
      </c>
      <c r="L38" s="3">
        <v>55</v>
      </c>
      <c r="M38" s="2">
        <v>177</v>
      </c>
      <c r="N38" s="10">
        <f>Table6[[#This Row],[سعودي]]/Table6[[#This Row],[مجموع العمالة ]]</f>
        <v>0.31073446327683618</v>
      </c>
      <c r="P38" s="3" t="s">
        <v>148</v>
      </c>
      <c r="Q38" s="3">
        <v>6</v>
      </c>
      <c r="R38" s="3">
        <v>1396</v>
      </c>
      <c r="S38" s="9">
        <f t="shared" si="3"/>
        <v>4.2979942693409743E-3</v>
      </c>
    </row>
    <row r="39" spans="1:19" x14ac:dyDescent="0.55000000000000004">
      <c r="A39" s="3" t="s">
        <v>149</v>
      </c>
      <c r="B39" s="3">
        <v>52</v>
      </c>
      <c r="C39" s="3">
        <v>106</v>
      </c>
      <c r="D39" s="9">
        <f t="shared" si="0"/>
        <v>0.49056603773584906</v>
      </c>
      <c r="F39" s="2" t="s">
        <v>150</v>
      </c>
      <c r="G39" s="2">
        <v>70</v>
      </c>
      <c r="H39" s="2">
        <v>178</v>
      </c>
      <c r="I39" s="10">
        <f t="shared" si="1"/>
        <v>0.39325842696629215</v>
      </c>
      <c r="K39" s="3" t="s">
        <v>151</v>
      </c>
      <c r="L39" s="3">
        <v>51</v>
      </c>
      <c r="M39" s="2">
        <v>264</v>
      </c>
      <c r="N39" s="10">
        <f>Table6[[#This Row],[سعودي]]/Table6[[#This Row],[مجموع العمالة ]]</f>
        <v>0.19318181818181818</v>
      </c>
      <c r="P39" s="3" t="s">
        <v>152</v>
      </c>
      <c r="Q39" s="3">
        <v>5</v>
      </c>
      <c r="R39" s="3">
        <v>361</v>
      </c>
      <c r="S39" s="9">
        <f t="shared" si="3"/>
        <v>1.3850415512465374E-2</v>
      </c>
    </row>
    <row r="40" spans="1:19" x14ac:dyDescent="0.55000000000000004">
      <c r="A40" s="3" t="s">
        <v>153</v>
      </c>
      <c r="B40" s="3">
        <v>71</v>
      </c>
      <c r="C40" s="3">
        <v>88</v>
      </c>
      <c r="D40" s="9">
        <f t="shared" si="0"/>
        <v>0.80681818181818177</v>
      </c>
      <c r="F40" s="2" t="s">
        <v>154</v>
      </c>
      <c r="G40" s="2">
        <v>88</v>
      </c>
      <c r="H40" s="2">
        <v>174</v>
      </c>
      <c r="I40" s="10">
        <f t="shared" si="1"/>
        <v>0.50574712643678166</v>
      </c>
      <c r="K40" s="3" t="s">
        <v>155</v>
      </c>
      <c r="L40" s="3">
        <v>49</v>
      </c>
      <c r="M40" s="2">
        <v>252</v>
      </c>
      <c r="N40" s="10">
        <f>Table6[[#This Row],[سعودي]]/Table6[[#This Row],[مجموع العمالة ]]</f>
        <v>0.19444444444444445</v>
      </c>
      <c r="P40" s="3" t="s">
        <v>156</v>
      </c>
      <c r="Q40" s="3">
        <v>5</v>
      </c>
      <c r="R40" s="3">
        <v>141</v>
      </c>
      <c r="S40" s="9">
        <f t="shared" si="3"/>
        <v>3.5460992907801421E-2</v>
      </c>
    </row>
    <row r="41" spans="1:19" x14ac:dyDescent="0.55000000000000004">
      <c r="A41" s="3" t="s">
        <v>157</v>
      </c>
      <c r="B41" s="3">
        <v>34</v>
      </c>
      <c r="C41" s="3">
        <v>88</v>
      </c>
      <c r="D41" s="9">
        <f t="shared" si="0"/>
        <v>0.38636363636363635</v>
      </c>
      <c r="F41" s="2" t="s">
        <v>158</v>
      </c>
      <c r="G41" s="2">
        <v>68</v>
      </c>
      <c r="H41" s="2">
        <v>163</v>
      </c>
      <c r="I41" s="10">
        <f t="shared" si="1"/>
        <v>0.41717791411042943</v>
      </c>
      <c r="K41" s="3" t="s">
        <v>159</v>
      </c>
      <c r="L41" s="3">
        <v>47</v>
      </c>
      <c r="M41" s="2">
        <v>1073</v>
      </c>
      <c r="N41" s="10">
        <f>Table6[[#This Row],[سعودي]]/Table6[[#This Row],[مجموع العمالة ]]</f>
        <v>4.3802423112767941E-2</v>
      </c>
      <c r="P41" s="3" t="s">
        <v>160</v>
      </c>
      <c r="Q41" s="3">
        <v>5</v>
      </c>
      <c r="R41" s="3">
        <v>9</v>
      </c>
      <c r="S41" s="9">
        <f t="shared" si="3"/>
        <v>0.55555555555555558</v>
      </c>
    </row>
    <row r="42" spans="1:19" x14ac:dyDescent="0.55000000000000004">
      <c r="A42" s="3" t="s">
        <v>161</v>
      </c>
      <c r="B42" s="3">
        <v>29</v>
      </c>
      <c r="C42" s="3">
        <v>86</v>
      </c>
      <c r="D42" s="9">
        <f t="shared" si="0"/>
        <v>0.33720930232558138</v>
      </c>
      <c r="F42" s="2" t="s">
        <v>162</v>
      </c>
      <c r="G42" s="2">
        <v>123</v>
      </c>
      <c r="H42" s="2">
        <v>159</v>
      </c>
      <c r="I42" s="10">
        <f t="shared" si="1"/>
        <v>0.77358490566037741</v>
      </c>
      <c r="K42" s="3" t="s">
        <v>163</v>
      </c>
      <c r="L42" s="3">
        <v>47</v>
      </c>
      <c r="M42" s="2">
        <v>208</v>
      </c>
      <c r="N42" s="10">
        <f>Table6[[#This Row],[سعودي]]/Table6[[#This Row],[مجموع العمالة ]]</f>
        <v>0.22596153846153846</v>
      </c>
      <c r="P42" s="3" t="s">
        <v>164</v>
      </c>
      <c r="Q42" s="3">
        <v>4</v>
      </c>
      <c r="R42" s="3">
        <v>55</v>
      </c>
      <c r="S42" s="9">
        <f t="shared" si="3"/>
        <v>7.2727272727272724E-2</v>
      </c>
    </row>
    <row r="43" spans="1:19" x14ac:dyDescent="0.55000000000000004">
      <c r="A43" s="3" t="s">
        <v>165</v>
      </c>
      <c r="B43" s="3">
        <v>22</v>
      </c>
      <c r="C43" s="3">
        <v>80</v>
      </c>
      <c r="D43" s="9">
        <f t="shared" si="0"/>
        <v>0.27500000000000002</v>
      </c>
      <c r="F43" s="2" t="s">
        <v>166</v>
      </c>
      <c r="G43" s="2">
        <v>10</v>
      </c>
      <c r="H43" s="2">
        <v>149</v>
      </c>
      <c r="I43" s="10">
        <f t="shared" si="1"/>
        <v>6.7114093959731544E-2</v>
      </c>
      <c r="K43" s="3" t="s">
        <v>167</v>
      </c>
      <c r="L43" s="3">
        <v>46</v>
      </c>
      <c r="M43" s="2">
        <v>245</v>
      </c>
      <c r="N43" s="10">
        <f>Table6[[#This Row],[سعودي]]/Table6[[#This Row],[مجموع العمالة ]]</f>
        <v>0.18775510204081633</v>
      </c>
      <c r="P43" s="3" t="s">
        <v>168</v>
      </c>
      <c r="Q43" s="3">
        <v>3</v>
      </c>
      <c r="R43" s="3">
        <v>1453</v>
      </c>
      <c r="S43" s="9">
        <f t="shared" si="3"/>
        <v>2.0646937370956643E-3</v>
      </c>
    </row>
    <row r="44" spans="1:19" x14ac:dyDescent="0.55000000000000004">
      <c r="A44" s="3" t="s">
        <v>169</v>
      </c>
      <c r="B44" s="3">
        <v>31</v>
      </c>
      <c r="C44" s="3">
        <v>69</v>
      </c>
      <c r="D44" s="9">
        <f t="shared" si="0"/>
        <v>0.44927536231884058</v>
      </c>
      <c r="F44" s="2" t="s">
        <v>170</v>
      </c>
      <c r="G44" s="2">
        <v>42</v>
      </c>
      <c r="H44" s="2">
        <v>135</v>
      </c>
      <c r="I44" s="10">
        <f t="shared" si="1"/>
        <v>0.31111111111111112</v>
      </c>
      <c r="K44" s="3" t="s">
        <v>171</v>
      </c>
      <c r="L44" s="3">
        <v>46</v>
      </c>
      <c r="M44" s="2">
        <v>138</v>
      </c>
      <c r="N44" s="10">
        <f>Table6[[#This Row],[سعودي]]/Table6[[#This Row],[مجموع العمالة ]]</f>
        <v>0.33333333333333331</v>
      </c>
      <c r="P44" s="3" t="s">
        <v>172</v>
      </c>
      <c r="Q44" s="3">
        <v>3</v>
      </c>
      <c r="R44" s="3">
        <v>341</v>
      </c>
      <c r="S44" s="9">
        <f t="shared" si="3"/>
        <v>8.7976539589442824E-3</v>
      </c>
    </row>
    <row r="45" spans="1:19" x14ac:dyDescent="0.55000000000000004">
      <c r="A45" s="3" t="s">
        <v>173</v>
      </c>
      <c r="B45" s="3">
        <v>13</v>
      </c>
      <c r="C45" s="3">
        <v>68</v>
      </c>
      <c r="D45" s="9">
        <f t="shared" si="0"/>
        <v>0.19117647058823528</v>
      </c>
      <c r="F45" s="2" t="s">
        <v>174</v>
      </c>
      <c r="G45" s="2">
        <v>85</v>
      </c>
      <c r="H45" s="2">
        <v>128</v>
      </c>
      <c r="I45" s="10">
        <f t="shared" si="1"/>
        <v>0.6640625</v>
      </c>
      <c r="K45" s="3" t="s">
        <v>175</v>
      </c>
      <c r="L45" s="3">
        <v>43</v>
      </c>
      <c r="M45" s="2">
        <v>632</v>
      </c>
      <c r="N45" s="10">
        <f>Table6[[#This Row],[سعودي]]/Table6[[#This Row],[مجموع العمالة ]]</f>
        <v>6.8037974683544306E-2</v>
      </c>
      <c r="P45" s="3" t="s">
        <v>176</v>
      </c>
      <c r="Q45" s="3">
        <v>3</v>
      </c>
      <c r="R45" s="3">
        <v>56</v>
      </c>
      <c r="S45" s="9">
        <f t="shared" si="3"/>
        <v>5.3571428571428568E-2</v>
      </c>
    </row>
    <row r="46" spans="1:19" x14ac:dyDescent="0.55000000000000004">
      <c r="A46" s="3" t="s">
        <v>177</v>
      </c>
      <c r="B46" s="3">
        <v>35</v>
      </c>
      <c r="C46" s="3">
        <v>65</v>
      </c>
      <c r="D46" s="9">
        <f t="shared" si="0"/>
        <v>0.53846153846153844</v>
      </c>
      <c r="F46" s="2" t="s">
        <v>178</v>
      </c>
      <c r="G46" s="2">
        <v>80</v>
      </c>
      <c r="H46" s="2">
        <v>125</v>
      </c>
      <c r="I46" s="10">
        <f t="shared" si="1"/>
        <v>0.64</v>
      </c>
      <c r="K46" s="3" t="s">
        <v>179</v>
      </c>
      <c r="L46" s="3">
        <v>42</v>
      </c>
      <c r="M46" s="2">
        <v>366</v>
      </c>
      <c r="N46" s="10">
        <f>Table6[[#This Row],[سعودي]]/Table6[[#This Row],[مجموع العمالة ]]</f>
        <v>0.11475409836065574</v>
      </c>
      <c r="P46" s="3" t="s">
        <v>180</v>
      </c>
      <c r="Q46" s="3">
        <v>3</v>
      </c>
      <c r="R46" s="3">
        <v>24</v>
      </c>
      <c r="S46" s="9">
        <f t="shared" si="3"/>
        <v>0.125</v>
      </c>
    </row>
    <row r="47" spans="1:19" x14ac:dyDescent="0.55000000000000004">
      <c r="A47" s="3" t="s">
        <v>181</v>
      </c>
      <c r="B47" s="3">
        <v>13</v>
      </c>
      <c r="C47" s="3">
        <v>61</v>
      </c>
      <c r="D47" s="9">
        <f t="shared" si="0"/>
        <v>0.21311475409836064</v>
      </c>
      <c r="F47" s="2" t="s">
        <v>182</v>
      </c>
      <c r="G47" s="2">
        <v>63</v>
      </c>
      <c r="H47" s="2">
        <v>120</v>
      </c>
      <c r="I47" s="10">
        <f t="shared" si="1"/>
        <v>0.52500000000000002</v>
      </c>
      <c r="K47" s="3" t="s">
        <v>183</v>
      </c>
      <c r="L47" s="3">
        <v>41</v>
      </c>
      <c r="M47" s="2">
        <v>383</v>
      </c>
      <c r="N47" s="10">
        <f>Table6[[#This Row],[سعودي]]/Table6[[#This Row],[مجموع العمالة ]]</f>
        <v>0.10704960835509138</v>
      </c>
      <c r="P47" s="3" t="s">
        <v>184</v>
      </c>
      <c r="Q47" s="3">
        <v>3</v>
      </c>
      <c r="R47" s="3">
        <v>3</v>
      </c>
      <c r="S47" s="9">
        <f t="shared" si="3"/>
        <v>1</v>
      </c>
    </row>
    <row r="48" spans="1:19" x14ac:dyDescent="0.55000000000000004">
      <c r="A48" s="3" t="s">
        <v>185</v>
      </c>
      <c r="B48" s="3">
        <v>11</v>
      </c>
      <c r="C48" s="3">
        <v>60</v>
      </c>
      <c r="D48" s="9">
        <f t="shared" si="0"/>
        <v>0.18333333333333332</v>
      </c>
      <c r="F48" s="2" t="s">
        <v>186</v>
      </c>
      <c r="G48" s="2">
        <v>5</v>
      </c>
      <c r="H48" s="2">
        <v>118</v>
      </c>
      <c r="I48" s="10">
        <f t="shared" si="1"/>
        <v>4.2372881355932202E-2</v>
      </c>
      <c r="K48" s="3" t="s">
        <v>187</v>
      </c>
      <c r="L48" s="3">
        <v>39</v>
      </c>
      <c r="M48" s="2">
        <v>108</v>
      </c>
      <c r="N48" s="10">
        <f>Table6[[#This Row],[سعودي]]/Table6[[#This Row],[مجموع العمالة ]]</f>
        <v>0.3611111111111111</v>
      </c>
      <c r="P48" s="3" t="s">
        <v>188</v>
      </c>
      <c r="Q48" s="3">
        <v>2</v>
      </c>
      <c r="R48" s="3">
        <v>210</v>
      </c>
      <c r="S48" s="9">
        <f t="shared" si="3"/>
        <v>9.5238095238095247E-3</v>
      </c>
    </row>
    <row r="49" spans="1:19" x14ac:dyDescent="0.55000000000000004">
      <c r="A49" s="3" t="s">
        <v>189</v>
      </c>
      <c r="B49" s="3">
        <v>27</v>
      </c>
      <c r="C49" s="3">
        <v>58</v>
      </c>
      <c r="D49" s="9">
        <f t="shared" si="0"/>
        <v>0.46551724137931033</v>
      </c>
      <c r="F49" s="2" t="s">
        <v>190</v>
      </c>
      <c r="G49" s="2">
        <v>53</v>
      </c>
      <c r="H49" s="2">
        <v>110</v>
      </c>
      <c r="I49" s="10">
        <f t="shared" si="1"/>
        <v>0.48181818181818181</v>
      </c>
      <c r="K49" s="3" t="s">
        <v>191</v>
      </c>
      <c r="L49" s="3">
        <v>35</v>
      </c>
      <c r="M49" s="2">
        <v>400</v>
      </c>
      <c r="N49" s="10">
        <f>Table6[[#This Row],[سعودي]]/Table6[[#This Row],[مجموع العمالة ]]</f>
        <v>8.7499999999999994E-2</v>
      </c>
      <c r="P49" s="3" t="s">
        <v>192</v>
      </c>
      <c r="Q49" s="3">
        <v>2</v>
      </c>
      <c r="R49" s="3">
        <v>123</v>
      </c>
      <c r="S49" s="9">
        <f t="shared" si="3"/>
        <v>1.6260162601626018E-2</v>
      </c>
    </row>
    <row r="50" spans="1:19" x14ac:dyDescent="0.55000000000000004">
      <c r="A50" s="3" t="s">
        <v>193</v>
      </c>
      <c r="B50" s="3">
        <v>24</v>
      </c>
      <c r="C50" s="3">
        <v>56</v>
      </c>
      <c r="D50" s="9">
        <f t="shared" si="0"/>
        <v>0.42857142857142855</v>
      </c>
      <c r="F50" s="2" t="s">
        <v>194</v>
      </c>
      <c r="G50" s="2">
        <v>69</v>
      </c>
      <c r="H50" s="2">
        <v>110</v>
      </c>
      <c r="I50" s="10">
        <f t="shared" si="1"/>
        <v>0.62727272727272732</v>
      </c>
      <c r="K50" s="3" t="s">
        <v>195</v>
      </c>
      <c r="L50" s="3">
        <v>35</v>
      </c>
      <c r="M50" s="2">
        <v>171</v>
      </c>
      <c r="N50" s="10">
        <f>Table6[[#This Row],[سعودي]]/Table6[[#This Row],[مجموع العمالة ]]</f>
        <v>0.2046783625730994</v>
      </c>
      <c r="P50" s="3" t="s">
        <v>196</v>
      </c>
      <c r="Q50" s="3">
        <v>2</v>
      </c>
      <c r="R50" s="3">
        <v>14</v>
      </c>
      <c r="S50" s="9">
        <f t="shared" si="3"/>
        <v>0.14285714285714285</v>
      </c>
    </row>
    <row r="51" spans="1:19" x14ac:dyDescent="0.55000000000000004">
      <c r="A51" s="3" t="s">
        <v>197</v>
      </c>
      <c r="B51" s="3">
        <v>19</v>
      </c>
      <c r="C51" s="3">
        <v>55</v>
      </c>
      <c r="D51" s="9">
        <f t="shared" si="0"/>
        <v>0.34545454545454546</v>
      </c>
      <c r="F51" s="2" t="s">
        <v>198</v>
      </c>
      <c r="G51" s="2">
        <v>55</v>
      </c>
      <c r="H51" s="2">
        <v>109</v>
      </c>
      <c r="I51" s="10">
        <f t="shared" si="1"/>
        <v>0.50458715596330272</v>
      </c>
      <c r="K51" s="3" t="s">
        <v>199</v>
      </c>
      <c r="L51" s="3">
        <v>34</v>
      </c>
      <c r="M51" s="2">
        <v>116</v>
      </c>
      <c r="N51" s="10">
        <f>Table6[[#This Row],[سعودي]]/Table6[[#This Row],[مجموع العمالة ]]</f>
        <v>0.29310344827586204</v>
      </c>
      <c r="P51" s="3" t="s">
        <v>200</v>
      </c>
      <c r="Q51" s="3">
        <v>2</v>
      </c>
      <c r="R51" s="3">
        <v>2</v>
      </c>
      <c r="S51" s="9">
        <f t="shared" si="3"/>
        <v>1</v>
      </c>
    </row>
    <row r="52" spans="1:19" x14ac:dyDescent="0.55000000000000004">
      <c r="A52" s="3" t="s">
        <v>201</v>
      </c>
      <c r="B52" s="3">
        <v>38</v>
      </c>
      <c r="C52" s="3">
        <v>55</v>
      </c>
      <c r="D52" s="9">
        <f t="shared" si="0"/>
        <v>0.69090909090909092</v>
      </c>
      <c r="F52" s="2" t="s">
        <v>202</v>
      </c>
      <c r="G52" s="2">
        <v>32</v>
      </c>
      <c r="H52" s="2">
        <v>108</v>
      </c>
      <c r="I52" s="10">
        <f t="shared" si="1"/>
        <v>0.29629629629629628</v>
      </c>
      <c r="K52" s="3" t="s">
        <v>203</v>
      </c>
      <c r="L52" s="3">
        <v>33</v>
      </c>
      <c r="M52" s="2">
        <v>2279</v>
      </c>
      <c r="N52" s="10">
        <f>Table6[[#This Row],[سعودي]]/Table6[[#This Row],[مجموع العمالة ]]</f>
        <v>1.4480035103115402E-2</v>
      </c>
      <c r="P52" s="3" t="s">
        <v>204</v>
      </c>
      <c r="Q52" s="3">
        <v>1</v>
      </c>
      <c r="R52" s="3">
        <v>48</v>
      </c>
      <c r="S52" s="9">
        <f t="shared" si="3"/>
        <v>2.0833333333333332E-2</v>
      </c>
    </row>
    <row r="53" spans="1:19" x14ac:dyDescent="0.55000000000000004">
      <c r="A53" s="3" t="s">
        <v>205</v>
      </c>
      <c r="B53" s="3">
        <v>20</v>
      </c>
      <c r="C53" s="3">
        <v>52</v>
      </c>
      <c r="D53" s="9">
        <f t="shared" si="0"/>
        <v>0.38461538461538464</v>
      </c>
      <c r="F53" s="2" t="s">
        <v>206</v>
      </c>
      <c r="G53" s="2">
        <v>27</v>
      </c>
      <c r="H53" s="2">
        <v>93</v>
      </c>
      <c r="I53" s="10">
        <f t="shared" si="1"/>
        <v>0.29032258064516131</v>
      </c>
      <c r="K53" s="3" t="s">
        <v>207</v>
      </c>
      <c r="L53" s="3">
        <v>33</v>
      </c>
      <c r="M53" s="2">
        <v>1952</v>
      </c>
      <c r="N53" s="10">
        <f>Table6[[#This Row],[سعودي]]/Table6[[#This Row],[مجموع العمالة ]]</f>
        <v>1.6905737704918034E-2</v>
      </c>
      <c r="P53" s="3" t="s">
        <v>208</v>
      </c>
      <c r="Q53" s="3">
        <v>1</v>
      </c>
      <c r="R53" s="3">
        <v>17</v>
      </c>
      <c r="S53" s="9">
        <f t="shared" si="3"/>
        <v>5.8823529411764705E-2</v>
      </c>
    </row>
    <row r="54" spans="1:19" x14ac:dyDescent="0.55000000000000004">
      <c r="A54" s="3" t="s">
        <v>209</v>
      </c>
      <c r="B54" s="3">
        <v>24</v>
      </c>
      <c r="C54" s="3">
        <v>46</v>
      </c>
      <c r="D54" s="9">
        <f t="shared" si="0"/>
        <v>0.52173913043478259</v>
      </c>
      <c r="F54" s="2" t="s">
        <v>210</v>
      </c>
      <c r="G54" s="2">
        <v>84</v>
      </c>
      <c r="H54" s="2">
        <v>84</v>
      </c>
      <c r="I54" s="10">
        <f t="shared" si="1"/>
        <v>1</v>
      </c>
      <c r="K54" s="3" t="s">
        <v>211</v>
      </c>
      <c r="L54" s="3">
        <v>32</v>
      </c>
      <c r="M54" s="2">
        <v>5279</v>
      </c>
      <c r="N54" s="10">
        <f>Table6[[#This Row],[سعودي]]/Table6[[#This Row],[مجموع العمالة ]]</f>
        <v>6.0617541200985031E-3</v>
      </c>
      <c r="P54" s="3" t="s">
        <v>212</v>
      </c>
      <c r="Q54" s="3">
        <v>1</v>
      </c>
      <c r="R54" s="3">
        <v>13</v>
      </c>
      <c r="S54" s="9">
        <f t="shared" si="3"/>
        <v>7.6923076923076927E-2</v>
      </c>
    </row>
    <row r="55" spans="1:19" x14ac:dyDescent="0.55000000000000004">
      <c r="A55" s="3" t="s">
        <v>213</v>
      </c>
      <c r="B55" s="3">
        <v>14</v>
      </c>
      <c r="C55" s="3">
        <v>46</v>
      </c>
      <c r="D55" s="9">
        <f t="shared" si="0"/>
        <v>0.30434782608695654</v>
      </c>
      <c r="F55" s="2" t="s">
        <v>214</v>
      </c>
      <c r="G55" s="2">
        <v>48</v>
      </c>
      <c r="H55" s="2">
        <v>82</v>
      </c>
      <c r="I55" s="10">
        <f t="shared" si="1"/>
        <v>0.58536585365853655</v>
      </c>
      <c r="K55" s="3" t="s">
        <v>215</v>
      </c>
      <c r="L55" s="3">
        <v>32</v>
      </c>
      <c r="M55" s="2">
        <v>167</v>
      </c>
      <c r="N55" s="10">
        <f>Table6[[#This Row],[سعودي]]/Table6[[#This Row],[مجموع العمالة ]]</f>
        <v>0.19161676646706588</v>
      </c>
      <c r="P55" s="3" t="s">
        <v>216</v>
      </c>
      <c r="Q55" s="3">
        <v>1</v>
      </c>
      <c r="R55" s="3">
        <v>11</v>
      </c>
      <c r="S55" s="9">
        <f t="shared" si="3"/>
        <v>9.0909090909090912E-2</v>
      </c>
    </row>
    <row r="56" spans="1:19" x14ac:dyDescent="0.55000000000000004">
      <c r="A56" s="3" t="s">
        <v>217</v>
      </c>
      <c r="B56" s="3">
        <v>15</v>
      </c>
      <c r="C56" s="3">
        <v>45</v>
      </c>
      <c r="D56" s="9">
        <f t="shared" si="0"/>
        <v>0.33333333333333331</v>
      </c>
      <c r="F56" s="2" t="s">
        <v>218</v>
      </c>
      <c r="G56" s="2">
        <v>48</v>
      </c>
      <c r="H56" s="2">
        <v>82</v>
      </c>
      <c r="I56" s="10">
        <f t="shared" si="1"/>
        <v>0.58536585365853655</v>
      </c>
      <c r="K56" s="3" t="s">
        <v>219</v>
      </c>
      <c r="L56" s="3">
        <v>31</v>
      </c>
      <c r="M56" s="2">
        <v>110</v>
      </c>
      <c r="N56" s="10">
        <f>Table6[[#This Row],[سعودي]]/Table6[[#This Row],[مجموع العمالة ]]</f>
        <v>0.2818181818181818</v>
      </c>
      <c r="P56" s="3" t="s">
        <v>220</v>
      </c>
      <c r="Q56" s="3">
        <v>1</v>
      </c>
      <c r="R56" s="3">
        <v>1</v>
      </c>
      <c r="S56" s="9">
        <f t="shared" si="3"/>
        <v>1</v>
      </c>
    </row>
    <row r="57" spans="1:19" x14ac:dyDescent="0.55000000000000004">
      <c r="A57" s="3" t="s">
        <v>221</v>
      </c>
      <c r="B57" s="3">
        <v>13</v>
      </c>
      <c r="C57" s="3">
        <v>44</v>
      </c>
      <c r="D57" s="9">
        <f t="shared" si="0"/>
        <v>0.29545454545454547</v>
      </c>
      <c r="F57" s="2" t="s">
        <v>222</v>
      </c>
      <c r="G57" s="2">
        <v>71</v>
      </c>
      <c r="H57" s="2">
        <v>82</v>
      </c>
      <c r="I57" s="10">
        <f t="shared" si="1"/>
        <v>0.86585365853658536</v>
      </c>
      <c r="K57" s="3" t="s">
        <v>223</v>
      </c>
      <c r="L57" s="3">
        <v>29</v>
      </c>
      <c r="M57" s="2">
        <v>111</v>
      </c>
      <c r="N57" s="10">
        <f>Table6[[#This Row],[سعودي]]/Table6[[#This Row],[مجموع العمالة ]]</f>
        <v>0.26126126126126126</v>
      </c>
      <c r="P57" s="3" t="s">
        <v>224</v>
      </c>
      <c r="Q57" s="3">
        <v>0</v>
      </c>
      <c r="R57" s="3">
        <v>27</v>
      </c>
      <c r="S57" s="9">
        <f t="shared" si="3"/>
        <v>0</v>
      </c>
    </row>
    <row r="58" spans="1:19" x14ac:dyDescent="0.55000000000000004">
      <c r="A58" s="3" t="s">
        <v>225</v>
      </c>
      <c r="B58" s="3">
        <v>11</v>
      </c>
      <c r="C58" s="3">
        <v>43</v>
      </c>
      <c r="D58" s="9">
        <f t="shared" si="0"/>
        <v>0.2558139534883721</v>
      </c>
      <c r="F58" s="2" t="s">
        <v>226</v>
      </c>
      <c r="G58" s="2">
        <v>52</v>
      </c>
      <c r="H58" s="2">
        <v>80</v>
      </c>
      <c r="I58" s="10">
        <f t="shared" si="1"/>
        <v>0.65</v>
      </c>
      <c r="K58" s="3" t="s">
        <v>227</v>
      </c>
      <c r="L58" s="3">
        <v>28</v>
      </c>
      <c r="M58" s="2">
        <v>56</v>
      </c>
      <c r="N58" s="10">
        <f>Table6[[#This Row],[سعودي]]/Table6[[#This Row],[مجموع العمالة ]]</f>
        <v>0.5</v>
      </c>
      <c r="P58" s="3" t="s">
        <v>228</v>
      </c>
      <c r="Q58" s="3">
        <v>0</v>
      </c>
      <c r="R58" s="3">
        <v>25</v>
      </c>
      <c r="S58" s="9">
        <f t="shared" si="3"/>
        <v>0</v>
      </c>
    </row>
    <row r="59" spans="1:19" x14ac:dyDescent="0.55000000000000004">
      <c r="A59" s="3" t="s">
        <v>229</v>
      </c>
      <c r="B59" s="3">
        <v>6</v>
      </c>
      <c r="C59" s="3">
        <v>43</v>
      </c>
      <c r="D59" s="9">
        <f t="shared" si="0"/>
        <v>0.13953488372093023</v>
      </c>
      <c r="F59" s="2" t="s">
        <v>230</v>
      </c>
      <c r="G59" s="2">
        <v>37</v>
      </c>
      <c r="H59" s="2">
        <v>78</v>
      </c>
      <c r="I59" s="10">
        <f t="shared" si="1"/>
        <v>0.47435897435897434</v>
      </c>
      <c r="K59" s="3" t="s">
        <v>231</v>
      </c>
      <c r="L59" s="3">
        <v>27</v>
      </c>
      <c r="M59" s="2">
        <v>327</v>
      </c>
      <c r="N59" s="10">
        <f>Table6[[#This Row],[سعودي]]/Table6[[#This Row],[مجموع العمالة ]]</f>
        <v>8.2568807339449546E-2</v>
      </c>
      <c r="P59" s="3" t="s">
        <v>232</v>
      </c>
      <c r="Q59" s="3">
        <v>0</v>
      </c>
      <c r="R59" s="3">
        <v>19</v>
      </c>
      <c r="S59" s="9">
        <f t="shared" si="3"/>
        <v>0</v>
      </c>
    </row>
    <row r="60" spans="1:19" x14ac:dyDescent="0.55000000000000004">
      <c r="A60" s="3" t="s">
        <v>233</v>
      </c>
      <c r="B60" s="3">
        <v>15</v>
      </c>
      <c r="C60" s="3">
        <v>42</v>
      </c>
      <c r="D60" s="9">
        <f t="shared" si="0"/>
        <v>0.35714285714285715</v>
      </c>
      <c r="F60" s="2" t="s">
        <v>234</v>
      </c>
      <c r="G60" s="2">
        <v>68</v>
      </c>
      <c r="H60" s="2">
        <v>78</v>
      </c>
      <c r="I60" s="10">
        <f t="shared" si="1"/>
        <v>0.87179487179487181</v>
      </c>
      <c r="K60" s="3" t="s">
        <v>235</v>
      </c>
      <c r="L60" s="3">
        <v>27</v>
      </c>
      <c r="M60" s="2">
        <v>37</v>
      </c>
      <c r="N60" s="10">
        <f>Table6[[#This Row],[سعودي]]/Table6[[#This Row],[مجموع العمالة ]]</f>
        <v>0.72972972972972971</v>
      </c>
      <c r="P60" s="3" t="s">
        <v>236</v>
      </c>
      <c r="Q60" s="3">
        <v>0</v>
      </c>
      <c r="R60" s="3">
        <v>18</v>
      </c>
      <c r="S60" s="9">
        <f t="shared" si="3"/>
        <v>0</v>
      </c>
    </row>
    <row r="61" spans="1:19" x14ac:dyDescent="0.55000000000000004">
      <c r="A61" s="3" t="s">
        <v>237</v>
      </c>
      <c r="B61" s="3">
        <v>31</v>
      </c>
      <c r="C61" s="3">
        <v>42</v>
      </c>
      <c r="D61" s="9">
        <f t="shared" si="0"/>
        <v>0.73809523809523814</v>
      </c>
      <c r="F61" s="2" t="s">
        <v>238</v>
      </c>
      <c r="G61" s="2">
        <v>64</v>
      </c>
      <c r="H61" s="2">
        <v>75</v>
      </c>
      <c r="I61" s="10">
        <f t="shared" si="1"/>
        <v>0.85333333333333339</v>
      </c>
      <c r="K61" s="3" t="s">
        <v>239</v>
      </c>
      <c r="L61" s="3">
        <v>26</v>
      </c>
      <c r="M61" s="2">
        <v>701</v>
      </c>
      <c r="N61" s="10">
        <f>Table6[[#This Row],[سعودي]]/Table6[[#This Row],[مجموع العمالة ]]</f>
        <v>3.7089871611982884E-2</v>
      </c>
      <c r="P61" s="3" t="s">
        <v>240</v>
      </c>
      <c r="Q61" s="3">
        <v>0</v>
      </c>
      <c r="R61" s="3">
        <v>5</v>
      </c>
      <c r="S61" s="9">
        <f t="shared" si="3"/>
        <v>0</v>
      </c>
    </row>
    <row r="62" spans="1:19" x14ac:dyDescent="0.55000000000000004">
      <c r="A62" s="3" t="s">
        <v>241</v>
      </c>
      <c r="B62" s="3">
        <v>6</v>
      </c>
      <c r="C62" s="3">
        <v>38</v>
      </c>
      <c r="D62" s="9">
        <f t="shared" si="0"/>
        <v>0.15789473684210525</v>
      </c>
      <c r="F62" s="2" t="s">
        <v>242</v>
      </c>
      <c r="G62" s="2">
        <v>23</v>
      </c>
      <c r="H62" s="2">
        <v>65</v>
      </c>
      <c r="I62" s="10">
        <f t="shared" si="1"/>
        <v>0.35384615384615387</v>
      </c>
      <c r="K62" s="3" t="s">
        <v>243</v>
      </c>
      <c r="L62" s="3">
        <v>26</v>
      </c>
      <c r="M62" s="2">
        <v>701</v>
      </c>
      <c r="N62" s="10">
        <f>Table6[[#This Row],[سعودي]]/Table6[[#This Row],[مجموع العمالة ]]</f>
        <v>3.7089871611982884E-2</v>
      </c>
      <c r="P62" s="3" t="s">
        <v>244</v>
      </c>
      <c r="Q62" s="3">
        <v>0</v>
      </c>
      <c r="R62" s="3">
        <v>2</v>
      </c>
      <c r="S62" s="9">
        <f t="shared" si="3"/>
        <v>0</v>
      </c>
    </row>
    <row r="63" spans="1:19" x14ac:dyDescent="0.55000000000000004">
      <c r="A63" s="3" t="s">
        <v>245</v>
      </c>
      <c r="B63" s="3">
        <v>25</v>
      </c>
      <c r="C63" s="3">
        <v>34</v>
      </c>
      <c r="D63" s="9">
        <f t="shared" si="0"/>
        <v>0.73529411764705888</v>
      </c>
      <c r="F63" s="2" t="s">
        <v>246</v>
      </c>
      <c r="G63" s="2">
        <v>15</v>
      </c>
      <c r="H63" s="2">
        <v>61</v>
      </c>
      <c r="I63" s="10">
        <f t="shared" si="1"/>
        <v>0.24590163934426229</v>
      </c>
      <c r="K63" s="3" t="s">
        <v>247</v>
      </c>
      <c r="L63" s="3">
        <v>26</v>
      </c>
      <c r="M63" s="2">
        <v>239</v>
      </c>
      <c r="N63" s="10">
        <f>Table6[[#This Row],[سعودي]]/Table6[[#This Row],[مجموع العمالة ]]</f>
        <v>0.10878661087866109</v>
      </c>
      <c r="P63" s="3" t="s">
        <v>248</v>
      </c>
      <c r="Q63" s="3">
        <v>0</v>
      </c>
      <c r="R63" s="3">
        <v>2</v>
      </c>
      <c r="S63" s="9">
        <f t="shared" si="3"/>
        <v>0</v>
      </c>
    </row>
    <row r="64" spans="1:19" x14ac:dyDescent="0.55000000000000004">
      <c r="A64" s="3" t="s">
        <v>249</v>
      </c>
      <c r="B64" s="3">
        <v>34</v>
      </c>
      <c r="C64" s="3">
        <v>34</v>
      </c>
      <c r="D64" s="9">
        <f t="shared" si="0"/>
        <v>1</v>
      </c>
      <c r="F64" s="2" t="s">
        <v>250</v>
      </c>
      <c r="G64" s="2">
        <v>20</v>
      </c>
      <c r="H64" s="2">
        <v>61</v>
      </c>
      <c r="I64" s="10">
        <f t="shared" si="1"/>
        <v>0.32786885245901637</v>
      </c>
      <c r="K64" s="3" t="s">
        <v>251</v>
      </c>
      <c r="L64" s="3">
        <v>25</v>
      </c>
      <c r="M64" s="2">
        <v>74</v>
      </c>
      <c r="N64" s="10">
        <f>Table6[[#This Row],[سعودي]]/Table6[[#This Row],[مجموع العمالة ]]</f>
        <v>0.33783783783783783</v>
      </c>
      <c r="P64" s="3" t="s">
        <v>252</v>
      </c>
      <c r="Q64" s="3">
        <v>0</v>
      </c>
      <c r="R64" s="3">
        <v>1</v>
      </c>
      <c r="S64" s="9">
        <f t="shared" si="3"/>
        <v>0</v>
      </c>
    </row>
    <row r="65" spans="1:14" x14ac:dyDescent="0.55000000000000004">
      <c r="A65" s="3" t="s">
        <v>253</v>
      </c>
      <c r="B65" s="3">
        <v>3</v>
      </c>
      <c r="C65" s="3">
        <v>33</v>
      </c>
      <c r="D65" s="9">
        <f t="shared" si="0"/>
        <v>9.0909090909090912E-2</v>
      </c>
      <c r="F65" s="2" t="s">
        <v>254</v>
      </c>
      <c r="G65" s="2">
        <v>46</v>
      </c>
      <c r="H65" s="2">
        <v>61</v>
      </c>
      <c r="I65" s="10">
        <f t="shared" si="1"/>
        <v>0.75409836065573765</v>
      </c>
      <c r="K65" s="3" t="s">
        <v>255</v>
      </c>
      <c r="L65" s="3">
        <v>24</v>
      </c>
      <c r="M65" s="2">
        <v>88</v>
      </c>
      <c r="N65" s="10">
        <f>Table6[[#This Row],[سعودي]]/Table6[[#This Row],[مجموع العمالة ]]</f>
        <v>0.27272727272727271</v>
      </c>
    </row>
    <row r="66" spans="1:14" x14ac:dyDescent="0.55000000000000004">
      <c r="A66" s="3" t="s">
        <v>256</v>
      </c>
      <c r="B66" s="3">
        <v>21</v>
      </c>
      <c r="C66" s="3">
        <v>33</v>
      </c>
      <c r="D66" s="9">
        <f t="shared" si="0"/>
        <v>0.63636363636363635</v>
      </c>
      <c r="F66" s="2" t="s">
        <v>257</v>
      </c>
      <c r="G66" s="2">
        <v>35</v>
      </c>
      <c r="H66" s="2">
        <v>58</v>
      </c>
      <c r="I66" s="10">
        <f t="shared" si="1"/>
        <v>0.60344827586206895</v>
      </c>
      <c r="K66" s="3" t="s">
        <v>258</v>
      </c>
      <c r="L66" s="3">
        <v>23</v>
      </c>
      <c r="M66" s="2">
        <v>210</v>
      </c>
      <c r="N66" s="10">
        <f>Table6[[#This Row],[سعودي]]/Table6[[#This Row],[مجموع العمالة ]]</f>
        <v>0.10952380952380952</v>
      </c>
    </row>
    <row r="67" spans="1:14" x14ac:dyDescent="0.55000000000000004">
      <c r="A67" s="3" t="s">
        <v>259</v>
      </c>
      <c r="B67" s="3">
        <v>16</v>
      </c>
      <c r="C67" s="3">
        <v>32</v>
      </c>
      <c r="D67" s="9">
        <f t="shared" ref="D67:D97" si="4">B67/C67</f>
        <v>0.5</v>
      </c>
      <c r="F67" s="2" t="s">
        <v>260</v>
      </c>
      <c r="G67" s="2">
        <v>13</v>
      </c>
      <c r="H67" s="2">
        <v>55</v>
      </c>
      <c r="I67" s="10">
        <f t="shared" ref="I67:I123" si="5">G67/H67</f>
        <v>0.23636363636363636</v>
      </c>
      <c r="K67" s="3" t="s">
        <v>261</v>
      </c>
      <c r="L67" s="3">
        <v>23</v>
      </c>
      <c r="M67" s="2">
        <v>190</v>
      </c>
      <c r="N67" s="10">
        <f>Table6[[#This Row],[سعودي]]/Table6[[#This Row],[مجموع العمالة ]]</f>
        <v>0.12105263157894737</v>
      </c>
    </row>
    <row r="68" spans="1:14" x14ac:dyDescent="0.55000000000000004">
      <c r="A68" s="3" t="s">
        <v>262</v>
      </c>
      <c r="B68" s="3">
        <v>16</v>
      </c>
      <c r="C68" s="3">
        <v>28</v>
      </c>
      <c r="D68" s="9">
        <f t="shared" si="4"/>
        <v>0.5714285714285714</v>
      </c>
      <c r="F68" s="2" t="s">
        <v>263</v>
      </c>
      <c r="G68" s="2">
        <v>32</v>
      </c>
      <c r="H68" s="2">
        <v>53</v>
      </c>
      <c r="I68" s="10">
        <f t="shared" si="5"/>
        <v>0.60377358490566035</v>
      </c>
      <c r="K68" s="3" t="s">
        <v>264</v>
      </c>
      <c r="L68" s="3">
        <v>23</v>
      </c>
      <c r="M68" s="2">
        <v>147</v>
      </c>
      <c r="N68" s="10">
        <f>Table6[[#This Row],[سعودي]]/Table6[[#This Row],[مجموع العمالة ]]</f>
        <v>0.15646258503401361</v>
      </c>
    </row>
    <row r="69" spans="1:14" x14ac:dyDescent="0.55000000000000004">
      <c r="A69" s="3" t="s">
        <v>265</v>
      </c>
      <c r="B69" s="3">
        <v>19</v>
      </c>
      <c r="C69" s="3">
        <v>26</v>
      </c>
      <c r="D69" s="9">
        <f t="shared" si="4"/>
        <v>0.73076923076923073</v>
      </c>
      <c r="F69" s="2" t="s">
        <v>266</v>
      </c>
      <c r="G69" s="2">
        <v>22</v>
      </c>
      <c r="H69" s="2">
        <v>52</v>
      </c>
      <c r="I69" s="10">
        <f t="shared" si="5"/>
        <v>0.42307692307692307</v>
      </c>
      <c r="K69" s="3" t="s">
        <v>267</v>
      </c>
      <c r="L69" s="3">
        <v>22</v>
      </c>
      <c r="M69" s="2">
        <v>170</v>
      </c>
      <c r="N69" s="10">
        <f>Table6[[#This Row],[سعودي]]/Table6[[#This Row],[مجموع العمالة ]]</f>
        <v>0.12941176470588237</v>
      </c>
    </row>
    <row r="70" spans="1:14" x14ac:dyDescent="0.55000000000000004">
      <c r="A70" s="3" t="s">
        <v>268</v>
      </c>
      <c r="B70" s="3">
        <v>25</v>
      </c>
      <c r="C70" s="3">
        <v>25</v>
      </c>
      <c r="D70" s="9">
        <f t="shared" si="4"/>
        <v>1</v>
      </c>
      <c r="F70" s="2" t="s">
        <v>269</v>
      </c>
      <c r="G70" s="2">
        <v>36</v>
      </c>
      <c r="H70" s="2">
        <v>51</v>
      </c>
      <c r="I70" s="10">
        <f t="shared" si="5"/>
        <v>0.70588235294117652</v>
      </c>
      <c r="K70" s="3" t="s">
        <v>270</v>
      </c>
      <c r="L70" s="3">
        <v>21</v>
      </c>
      <c r="M70" s="2">
        <v>292</v>
      </c>
      <c r="N70" s="10">
        <f>Table6[[#This Row],[سعودي]]/Table6[[#This Row],[مجموع العمالة ]]</f>
        <v>7.1917808219178078E-2</v>
      </c>
    </row>
    <row r="71" spans="1:14" x14ac:dyDescent="0.55000000000000004">
      <c r="A71" s="3" t="s">
        <v>271</v>
      </c>
      <c r="B71" s="3">
        <v>7</v>
      </c>
      <c r="C71" s="3">
        <v>25</v>
      </c>
      <c r="D71" s="9">
        <f t="shared" si="4"/>
        <v>0.28000000000000003</v>
      </c>
      <c r="F71" s="2" t="s">
        <v>272</v>
      </c>
      <c r="G71" s="2">
        <v>32</v>
      </c>
      <c r="H71" s="2">
        <v>48</v>
      </c>
      <c r="I71" s="10">
        <f t="shared" si="5"/>
        <v>0.66666666666666663</v>
      </c>
      <c r="K71" s="3" t="s">
        <v>273</v>
      </c>
      <c r="L71" s="3">
        <v>21</v>
      </c>
      <c r="M71" s="2">
        <v>188</v>
      </c>
      <c r="N71" s="10">
        <f>Table6[[#This Row],[سعودي]]/Table6[[#This Row],[مجموع العمالة ]]</f>
        <v>0.11170212765957446</v>
      </c>
    </row>
    <row r="72" spans="1:14" x14ac:dyDescent="0.55000000000000004">
      <c r="A72" s="3" t="s">
        <v>274</v>
      </c>
      <c r="B72" s="3">
        <v>8</v>
      </c>
      <c r="C72" s="3">
        <v>25</v>
      </c>
      <c r="D72" s="9">
        <f t="shared" si="4"/>
        <v>0.32</v>
      </c>
      <c r="F72" s="2" t="s">
        <v>275</v>
      </c>
      <c r="G72" s="2">
        <v>34</v>
      </c>
      <c r="H72" s="2">
        <v>47</v>
      </c>
      <c r="I72" s="10">
        <f t="shared" si="5"/>
        <v>0.72340425531914898</v>
      </c>
      <c r="K72" s="3" t="s">
        <v>276</v>
      </c>
      <c r="L72" s="3">
        <v>21</v>
      </c>
      <c r="M72" s="2">
        <v>162</v>
      </c>
      <c r="N72" s="10">
        <f>Table6[[#This Row],[سعودي]]/Table6[[#This Row],[مجموع العمالة ]]</f>
        <v>0.12962962962962962</v>
      </c>
    </row>
    <row r="73" spans="1:14" x14ac:dyDescent="0.55000000000000004">
      <c r="A73" s="3" t="s">
        <v>277</v>
      </c>
      <c r="B73" s="3">
        <v>14</v>
      </c>
      <c r="C73" s="3">
        <v>24</v>
      </c>
      <c r="D73" s="9">
        <f t="shared" si="4"/>
        <v>0.58333333333333337</v>
      </c>
      <c r="F73" s="2" t="s">
        <v>278</v>
      </c>
      <c r="G73" s="2">
        <v>18</v>
      </c>
      <c r="H73" s="2">
        <v>46</v>
      </c>
      <c r="I73" s="10">
        <f t="shared" si="5"/>
        <v>0.39130434782608697</v>
      </c>
      <c r="K73" s="3" t="s">
        <v>279</v>
      </c>
      <c r="L73" s="3">
        <v>21</v>
      </c>
      <c r="M73" s="2">
        <v>100</v>
      </c>
      <c r="N73" s="10">
        <f>Table6[[#This Row],[سعودي]]/Table6[[#This Row],[مجموع العمالة ]]</f>
        <v>0.21</v>
      </c>
    </row>
    <row r="74" spans="1:14" x14ac:dyDescent="0.55000000000000004">
      <c r="A74" s="3" t="s">
        <v>280</v>
      </c>
      <c r="B74" s="3">
        <v>5</v>
      </c>
      <c r="C74" s="3">
        <v>24</v>
      </c>
      <c r="D74" s="9">
        <f t="shared" si="4"/>
        <v>0.20833333333333334</v>
      </c>
      <c r="F74" s="2" t="s">
        <v>281</v>
      </c>
      <c r="G74" s="2">
        <v>21</v>
      </c>
      <c r="H74" s="2">
        <v>46</v>
      </c>
      <c r="I74" s="10">
        <f t="shared" si="5"/>
        <v>0.45652173913043476</v>
      </c>
      <c r="K74" s="3" t="s">
        <v>282</v>
      </c>
      <c r="L74" s="3">
        <v>20</v>
      </c>
      <c r="M74" s="2">
        <v>180</v>
      </c>
      <c r="N74" s="10">
        <f>Table6[[#This Row],[سعودي]]/Table6[[#This Row],[مجموع العمالة ]]</f>
        <v>0.1111111111111111</v>
      </c>
    </row>
    <row r="75" spans="1:14" x14ac:dyDescent="0.55000000000000004">
      <c r="A75" s="3" t="s">
        <v>283</v>
      </c>
      <c r="B75" s="3">
        <v>3</v>
      </c>
      <c r="C75" s="3">
        <v>22</v>
      </c>
      <c r="D75" s="9">
        <f t="shared" si="4"/>
        <v>0.13636363636363635</v>
      </c>
      <c r="F75" s="2" t="s">
        <v>284</v>
      </c>
      <c r="G75" s="2">
        <v>25</v>
      </c>
      <c r="H75" s="2">
        <v>46</v>
      </c>
      <c r="I75" s="10">
        <f t="shared" si="5"/>
        <v>0.54347826086956519</v>
      </c>
      <c r="K75" s="3" t="s">
        <v>285</v>
      </c>
      <c r="L75" s="3">
        <v>19</v>
      </c>
      <c r="M75" s="2">
        <v>86</v>
      </c>
      <c r="N75" s="10">
        <f>Table6[[#This Row],[سعودي]]/Table6[[#This Row],[مجموع العمالة ]]</f>
        <v>0.22093023255813954</v>
      </c>
    </row>
    <row r="76" spans="1:14" x14ac:dyDescent="0.55000000000000004">
      <c r="A76" s="3" t="s">
        <v>286</v>
      </c>
      <c r="B76" s="3">
        <v>6</v>
      </c>
      <c r="C76" s="3">
        <v>16</v>
      </c>
      <c r="D76" s="9">
        <f t="shared" si="4"/>
        <v>0.375</v>
      </c>
      <c r="F76" s="2" t="s">
        <v>287</v>
      </c>
      <c r="G76" s="2">
        <v>16</v>
      </c>
      <c r="H76" s="2">
        <v>46</v>
      </c>
      <c r="I76" s="10">
        <f t="shared" si="5"/>
        <v>0.34782608695652173</v>
      </c>
      <c r="K76" s="3" t="s">
        <v>288</v>
      </c>
      <c r="L76" s="3">
        <v>19</v>
      </c>
      <c r="M76" s="2">
        <v>54</v>
      </c>
      <c r="N76" s="10">
        <f>Table6[[#This Row],[سعودي]]/Table6[[#This Row],[مجموع العمالة ]]</f>
        <v>0.35185185185185186</v>
      </c>
    </row>
    <row r="77" spans="1:14" x14ac:dyDescent="0.55000000000000004">
      <c r="A77" s="3" t="s">
        <v>289</v>
      </c>
      <c r="B77" s="3">
        <v>6</v>
      </c>
      <c r="C77" s="3">
        <v>15</v>
      </c>
      <c r="D77" s="9">
        <f t="shared" si="4"/>
        <v>0.4</v>
      </c>
      <c r="F77" s="2" t="s">
        <v>290</v>
      </c>
      <c r="G77" s="2">
        <v>29</v>
      </c>
      <c r="H77" s="2">
        <v>46</v>
      </c>
      <c r="I77" s="10">
        <f t="shared" si="5"/>
        <v>0.63043478260869568</v>
      </c>
      <c r="K77" s="3" t="s">
        <v>291</v>
      </c>
      <c r="L77" s="3">
        <v>18</v>
      </c>
      <c r="M77" s="2">
        <v>116</v>
      </c>
      <c r="N77" s="10">
        <f>Table6[[#This Row],[سعودي]]/Table6[[#This Row],[مجموع العمالة ]]</f>
        <v>0.15517241379310345</v>
      </c>
    </row>
    <row r="78" spans="1:14" x14ac:dyDescent="0.55000000000000004">
      <c r="A78" s="3" t="s">
        <v>292</v>
      </c>
      <c r="B78" s="3">
        <v>8</v>
      </c>
      <c r="C78" s="3">
        <v>12</v>
      </c>
      <c r="D78" s="9">
        <f t="shared" si="4"/>
        <v>0.66666666666666663</v>
      </c>
      <c r="F78" s="2" t="s">
        <v>293</v>
      </c>
      <c r="G78" s="2">
        <v>16</v>
      </c>
      <c r="H78" s="2">
        <v>45</v>
      </c>
      <c r="I78" s="10">
        <f t="shared" si="5"/>
        <v>0.35555555555555557</v>
      </c>
      <c r="K78" s="3" t="s">
        <v>294</v>
      </c>
      <c r="L78" s="3">
        <v>18</v>
      </c>
      <c r="M78" s="2">
        <v>69</v>
      </c>
      <c r="N78" s="10">
        <f>Table6[[#This Row],[سعودي]]/Table6[[#This Row],[مجموع العمالة ]]</f>
        <v>0.2608695652173913</v>
      </c>
    </row>
    <row r="79" spans="1:14" x14ac:dyDescent="0.55000000000000004">
      <c r="A79" s="3" t="s">
        <v>295</v>
      </c>
      <c r="B79" s="3">
        <v>11</v>
      </c>
      <c r="C79" s="3">
        <v>11</v>
      </c>
      <c r="D79" s="9">
        <f t="shared" si="4"/>
        <v>1</v>
      </c>
      <c r="F79" s="2" t="s">
        <v>296</v>
      </c>
      <c r="G79" s="2">
        <v>28</v>
      </c>
      <c r="H79" s="2">
        <v>41</v>
      </c>
      <c r="I79" s="10">
        <f t="shared" si="5"/>
        <v>0.68292682926829273</v>
      </c>
      <c r="K79" s="3" t="s">
        <v>297</v>
      </c>
      <c r="L79" s="3">
        <v>18</v>
      </c>
      <c r="M79" s="2">
        <v>51</v>
      </c>
      <c r="N79" s="10">
        <f>Table6[[#This Row],[سعودي]]/Table6[[#This Row],[مجموع العمالة ]]</f>
        <v>0.35294117647058826</v>
      </c>
    </row>
    <row r="80" spans="1:14" x14ac:dyDescent="0.55000000000000004">
      <c r="A80" s="3" t="s">
        <v>298</v>
      </c>
      <c r="B80" s="3">
        <v>2</v>
      </c>
      <c r="C80" s="3">
        <v>11</v>
      </c>
      <c r="D80" s="9">
        <f t="shared" si="4"/>
        <v>0.18181818181818182</v>
      </c>
      <c r="F80" s="2" t="s">
        <v>299</v>
      </c>
      <c r="G80" s="2">
        <v>16</v>
      </c>
      <c r="H80" s="2">
        <v>41</v>
      </c>
      <c r="I80" s="10">
        <f t="shared" si="5"/>
        <v>0.3902439024390244</v>
      </c>
      <c r="K80" s="3" t="s">
        <v>300</v>
      </c>
      <c r="L80" s="3">
        <v>18</v>
      </c>
      <c r="M80" s="2">
        <v>18</v>
      </c>
      <c r="N80" s="10">
        <f>Table6[[#This Row],[سعودي]]/Table6[[#This Row],[مجموع العمالة ]]</f>
        <v>1</v>
      </c>
    </row>
    <row r="81" spans="1:14" x14ac:dyDescent="0.55000000000000004">
      <c r="A81" s="3" t="s">
        <v>301</v>
      </c>
      <c r="B81" s="3">
        <v>8</v>
      </c>
      <c r="C81" s="3">
        <v>10</v>
      </c>
      <c r="D81" s="9">
        <f t="shared" si="4"/>
        <v>0.8</v>
      </c>
      <c r="F81" s="2" t="s">
        <v>302</v>
      </c>
      <c r="G81" s="2">
        <v>10</v>
      </c>
      <c r="H81" s="2">
        <v>40</v>
      </c>
      <c r="I81" s="10">
        <f t="shared" si="5"/>
        <v>0.25</v>
      </c>
      <c r="K81" s="3" t="s">
        <v>303</v>
      </c>
      <c r="L81" s="3">
        <v>17</v>
      </c>
      <c r="M81" s="2">
        <v>251</v>
      </c>
      <c r="N81" s="10">
        <f>Table6[[#This Row],[سعودي]]/Table6[[#This Row],[مجموع العمالة ]]</f>
        <v>6.7729083665338641E-2</v>
      </c>
    </row>
    <row r="82" spans="1:14" x14ac:dyDescent="0.55000000000000004">
      <c r="A82" s="3" t="s">
        <v>304</v>
      </c>
      <c r="B82" s="3">
        <v>4</v>
      </c>
      <c r="C82" s="3">
        <v>9</v>
      </c>
      <c r="D82" s="9">
        <f t="shared" si="4"/>
        <v>0.44444444444444442</v>
      </c>
      <c r="F82" s="2" t="s">
        <v>305</v>
      </c>
      <c r="G82" s="2">
        <v>17</v>
      </c>
      <c r="H82" s="2">
        <v>39</v>
      </c>
      <c r="I82" s="10">
        <f t="shared" si="5"/>
        <v>0.4358974358974359</v>
      </c>
      <c r="K82" s="3" t="s">
        <v>306</v>
      </c>
      <c r="L82" s="3">
        <v>17</v>
      </c>
      <c r="M82" s="2">
        <v>92</v>
      </c>
      <c r="N82" s="10">
        <f>Table6[[#This Row],[سعودي]]/Table6[[#This Row],[مجموع العمالة ]]</f>
        <v>0.18478260869565216</v>
      </c>
    </row>
    <row r="83" spans="1:14" x14ac:dyDescent="0.55000000000000004">
      <c r="A83" s="3" t="s">
        <v>307</v>
      </c>
      <c r="B83" s="3">
        <v>3</v>
      </c>
      <c r="C83" s="3">
        <v>8</v>
      </c>
      <c r="D83" s="9">
        <f t="shared" si="4"/>
        <v>0.375</v>
      </c>
      <c r="F83" s="2" t="s">
        <v>308</v>
      </c>
      <c r="G83" s="2">
        <v>31</v>
      </c>
      <c r="H83" s="2">
        <v>39</v>
      </c>
      <c r="I83" s="10">
        <f t="shared" si="5"/>
        <v>0.79487179487179482</v>
      </c>
      <c r="K83" s="3" t="s">
        <v>309</v>
      </c>
      <c r="L83" s="3">
        <v>17</v>
      </c>
      <c r="M83" s="2">
        <v>18</v>
      </c>
      <c r="N83" s="10">
        <f>Table6[[#This Row],[سعودي]]/Table6[[#This Row],[مجموع العمالة ]]</f>
        <v>0.94444444444444442</v>
      </c>
    </row>
    <row r="84" spans="1:14" x14ac:dyDescent="0.55000000000000004">
      <c r="A84" s="3" t="s">
        <v>310</v>
      </c>
      <c r="B84" s="3">
        <v>5</v>
      </c>
      <c r="C84" s="3">
        <v>8</v>
      </c>
      <c r="D84" s="9">
        <f t="shared" si="4"/>
        <v>0.625</v>
      </c>
      <c r="F84" s="2" t="s">
        <v>311</v>
      </c>
      <c r="G84" s="2">
        <v>21</v>
      </c>
      <c r="H84" s="2">
        <v>38</v>
      </c>
      <c r="I84" s="10">
        <f t="shared" si="5"/>
        <v>0.55263157894736847</v>
      </c>
      <c r="K84" s="3" t="s">
        <v>312</v>
      </c>
      <c r="L84" s="3">
        <v>15</v>
      </c>
      <c r="M84" s="2">
        <v>1246</v>
      </c>
      <c r="N84" s="10">
        <f>Table6[[#This Row],[سعودي]]/Table6[[#This Row],[مجموع العمالة ]]</f>
        <v>1.2038523274478331E-2</v>
      </c>
    </row>
    <row r="85" spans="1:14" x14ac:dyDescent="0.55000000000000004">
      <c r="A85" s="3" t="s">
        <v>313</v>
      </c>
      <c r="B85" s="3">
        <v>2</v>
      </c>
      <c r="C85" s="3">
        <v>7</v>
      </c>
      <c r="D85" s="9">
        <f t="shared" si="4"/>
        <v>0.2857142857142857</v>
      </c>
      <c r="F85" s="2" t="s">
        <v>314</v>
      </c>
      <c r="G85" s="2">
        <v>16</v>
      </c>
      <c r="H85" s="2">
        <v>35</v>
      </c>
      <c r="I85" s="10">
        <f t="shared" si="5"/>
        <v>0.45714285714285713</v>
      </c>
      <c r="K85" s="3" t="s">
        <v>315</v>
      </c>
      <c r="L85" s="3">
        <v>15</v>
      </c>
      <c r="M85" s="2">
        <v>136</v>
      </c>
      <c r="N85" s="10">
        <f>Table6[[#This Row],[سعودي]]/Table6[[#This Row],[مجموع العمالة ]]</f>
        <v>0.11029411764705882</v>
      </c>
    </row>
    <row r="86" spans="1:14" x14ac:dyDescent="0.55000000000000004">
      <c r="A86" s="3" t="s">
        <v>316</v>
      </c>
      <c r="B86" s="3">
        <v>2</v>
      </c>
      <c r="C86" s="3">
        <v>7</v>
      </c>
      <c r="D86" s="9">
        <f t="shared" si="4"/>
        <v>0.2857142857142857</v>
      </c>
      <c r="F86" s="2" t="s">
        <v>317</v>
      </c>
      <c r="G86" s="2">
        <v>35</v>
      </c>
      <c r="H86" s="2">
        <v>35</v>
      </c>
      <c r="I86" s="10">
        <f t="shared" si="5"/>
        <v>1</v>
      </c>
      <c r="K86" s="3" t="s">
        <v>318</v>
      </c>
      <c r="L86" s="3">
        <v>15</v>
      </c>
      <c r="M86" s="2">
        <v>102</v>
      </c>
      <c r="N86" s="10">
        <f>Table6[[#This Row],[سعودي]]/Table6[[#This Row],[مجموع العمالة ]]</f>
        <v>0.14705882352941177</v>
      </c>
    </row>
    <row r="87" spans="1:14" x14ac:dyDescent="0.55000000000000004">
      <c r="A87" s="3" t="s">
        <v>319</v>
      </c>
      <c r="B87" s="3">
        <v>3</v>
      </c>
      <c r="C87" s="3">
        <v>5</v>
      </c>
      <c r="D87" s="9">
        <f t="shared" si="4"/>
        <v>0.6</v>
      </c>
      <c r="F87" s="2" t="s">
        <v>320</v>
      </c>
      <c r="G87" s="2">
        <v>20</v>
      </c>
      <c r="H87" s="2">
        <v>34</v>
      </c>
      <c r="I87" s="10">
        <f t="shared" si="5"/>
        <v>0.58823529411764708</v>
      </c>
      <c r="K87" s="3" t="s">
        <v>321</v>
      </c>
      <c r="L87" s="3">
        <v>13</v>
      </c>
      <c r="M87" s="2">
        <v>71</v>
      </c>
      <c r="N87" s="10">
        <f>Table6[[#This Row],[سعودي]]/Table6[[#This Row],[مجموع العمالة ]]</f>
        <v>0.18309859154929578</v>
      </c>
    </row>
    <row r="88" spans="1:14" x14ac:dyDescent="0.55000000000000004">
      <c r="A88" s="3" t="s">
        <v>322</v>
      </c>
      <c r="B88" s="3">
        <v>1</v>
      </c>
      <c r="C88" s="3">
        <v>4</v>
      </c>
      <c r="D88" s="9">
        <f t="shared" si="4"/>
        <v>0.25</v>
      </c>
      <c r="F88" s="2" t="s">
        <v>323</v>
      </c>
      <c r="G88" s="2">
        <v>27</v>
      </c>
      <c r="H88" s="2">
        <v>29</v>
      </c>
      <c r="I88" s="10">
        <f t="shared" si="5"/>
        <v>0.93103448275862066</v>
      </c>
      <c r="K88" s="3" t="s">
        <v>324</v>
      </c>
      <c r="L88" s="3">
        <v>13</v>
      </c>
      <c r="M88" s="2">
        <v>24</v>
      </c>
      <c r="N88" s="10">
        <f>Table6[[#This Row],[سعودي]]/Table6[[#This Row],[مجموع العمالة ]]</f>
        <v>0.54166666666666663</v>
      </c>
    </row>
    <row r="89" spans="1:14" x14ac:dyDescent="0.55000000000000004">
      <c r="A89" s="3" t="s">
        <v>325</v>
      </c>
      <c r="B89" s="3">
        <v>3</v>
      </c>
      <c r="C89" s="3">
        <v>4</v>
      </c>
      <c r="D89" s="9">
        <f t="shared" si="4"/>
        <v>0.75</v>
      </c>
      <c r="F89" s="2" t="s">
        <v>326</v>
      </c>
      <c r="G89" s="2">
        <v>11</v>
      </c>
      <c r="H89" s="2">
        <v>26</v>
      </c>
      <c r="I89" s="10">
        <f t="shared" si="5"/>
        <v>0.42307692307692307</v>
      </c>
      <c r="K89" s="3" t="s">
        <v>327</v>
      </c>
      <c r="L89" s="3">
        <v>13</v>
      </c>
      <c r="M89" s="2">
        <v>13</v>
      </c>
      <c r="N89" s="10">
        <f>Table6[[#This Row],[سعودي]]/Table6[[#This Row],[مجموع العمالة ]]</f>
        <v>1</v>
      </c>
    </row>
    <row r="90" spans="1:14" x14ac:dyDescent="0.55000000000000004">
      <c r="A90" s="3" t="s">
        <v>328</v>
      </c>
      <c r="B90" s="3">
        <v>2</v>
      </c>
      <c r="C90" s="3">
        <v>3</v>
      </c>
      <c r="D90" s="9">
        <f t="shared" si="4"/>
        <v>0.66666666666666663</v>
      </c>
      <c r="F90" s="2" t="s">
        <v>329</v>
      </c>
      <c r="G90" s="2">
        <v>3</v>
      </c>
      <c r="H90" s="2">
        <v>26</v>
      </c>
      <c r="I90" s="10">
        <f t="shared" si="5"/>
        <v>0.11538461538461539</v>
      </c>
      <c r="K90" s="3" t="s">
        <v>330</v>
      </c>
      <c r="L90" s="3">
        <v>12</v>
      </c>
      <c r="M90" s="2">
        <v>762</v>
      </c>
      <c r="N90" s="10">
        <f>Table6[[#This Row],[سعودي]]/Table6[[#This Row],[مجموع العمالة ]]</f>
        <v>1.5748031496062992E-2</v>
      </c>
    </row>
    <row r="91" spans="1:14" x14ac:dyDescent="0.55000000000000004">
      <c r="A91" s="3" t="s">
        <v>331</v>
      </c>
      <c r="B91" s="3">
        <v>3</v>
      </c>
      <c r="C91" s="3">
        <v>3</v>
      </c>
      <c r="D91" s="9">
        <f t="shared" si="4"/>
        <v>1</v>
      </c>
      <c r="F91" s="2" t="s">
        <v>332</v>
      </c>
      <c r="G91" s="2">
        <v>25</v>
      </c>
      <c r="H91" s="2">
        <v>25</v>
      </c>
      <c r="I91" s="10">
        <f t="shared" si="5"/>
        <v>1</v>
      </c>
      <c r="K91" s="3" t="s">
        <v>333</v>
      </c>
      <c r="L91" s="3">
        <v>12</v>
      </c>
      <c r="M91" s="2">
        <v>730</v>
      </c>
      <c r="N91" s="10">
        <f>Table6[[#This Row],[سعودي]]/Table6[[#This Row],[مجموع العمالة ]]</f>
        <v>1.643835616438356E-2</v>
      </c>
    </row>
    <row r="92" spans="1:14" x14ac:dyDescent="0.55000000000000004">
      <c r="A92" s="3" t="s">
        <v>334</v>
      </c>
      <c r="B92" s="3">
        <v>2</v>
      </c>
      <c r="C92" s="3">
        <v>2</v>
      </c>
      <c r="D92" s="9">
        <f t="shared" si="4"/>
        <v>1</v>
      </c>
      <c r="F92" s="2" t="s">
        <v>335</v>
      </c>
      <c r="G92" s="2">
        <v>16</v>
      </c>
      <c r="H92" s="2">
        <v>24</v>
      </c>
      <c r="I92" s="10">
        <f t="shared" si="5"/>
        <v>0.66666666666666663</v>
      </c>
      <c r="K92" s="3" t="s">
        <v>336</v>
      </c>
      <c r="L92" s="3">
        <v>12</v>
      </c>
      <c r="M92" s="2">
        <v>69</v>
      </c>
      <c r="N92" s="10">
        <f>Table6[[#This Row],[سعودي]]/Table6[[#This Row],[مجموع العمالة ]]</f>
        <v>0.17391304347826086</v>
      </c>
    </row>
    <row r="93" spans="1:14" x14ac:dyDescent="0.55000000000000004">
      <c r="A93" s="3" t="s">
        <v>337</v>
      </c>
      <c r="B93" s="3">
        <v>2</v>
      </c>
      <c r="C93" s="3">
        <v>2</v>
      </c>
      <c r="D93" s="9">
        <f t="shared" si="4"/>
        <v>1</v>
      </c>
      <c r="F93" s="2" t="s">
        <v>338</v>
      </c>
      <c r="G93" s="2">
        <v>7</v>
      </c>
      <c r="H93" s="2">
        <v>24</v>
      </c>
      <c r="I93" s="10">
        <f t="shared" si="5"/>
        <v>0.29166666666666669</v>
      </c>
      <c r="K93" s="3" t="s">
        <v>339</v>
      </c>
      <c r="L93" s="3">
        <v>12</v>
      </c>
      <c r="M93" s="2">
        <v>49</v>
      </c>
      <c r="N93" s="10">
        <f>Table6[[#This Row],[سعودي]]/Table6[[#This Row],[مجموع العمالة ]]</f>
        <v>0.24489795918367346</v>
      </c>
    </row>
    <row r="94" spans="1:14" x14ac:dyDescent="0.55000000000000004">
      <c r="A94" s="3" t="s">
        <v>340</v>
      </c>
      <c r="B94" s="3">
        <v>1</v>
      </c>
      <c r="C94" s="3">
        <v>2</v>
      </c>
      <c r="D94" s="9">
        <f t="shared" si="4"/>
        <v>0.5</v>
      </c>
      <c r="F94" s="2" t="s">
        <v>341</v>
      </c>
      <c r="G94" s="2">
        <v>5</v>
      </c>
      <c r="H94" s="2">
        <v>22</v>
      </c>
      <c r="I94" s="10">
        <f t="shared" si="5"/>
        <v>0.22727272727272727</v>
      </c>
      <c r="K94" s="3" t="s">
        <v>342</v>
      </c>
      <c r="L94" s="3">
        <v>11</v>
      </c>
      <c r="M94" s="2">
        <v>392</v>
      </c>
      <c r="N94" s="10">
        <f>Table6[[#This Row],[سعودي]]/Table6[[#This Row],[مجموع العمالة ]]</f>
        <v>2.8061224489795918E-2</v>
      </c>
    </row>
    <row r="95" spans="1:14" x14ac:dyDescent="0.55000000000000004">
      <c r="A95" s="3" t="s">
        <v>343</v>
      </c>
      <c r="B95" s="3">
        <v>1</v>
      </c>
      <c r="C95" s="3">
        <v>2</v>
      </c>
      <c r="D95" s="9">
        <f t="shared" si="4"/>
        <v>0.5</v>
      </c>
      <c r="F95" s="2" t="s">
        <v>344</v>
      </c>
      <c r="G95" s="2">
        <v>0</v>
      </c>
      <c r="H95" s="2">
        <v>21</v>
      </c>
      <c r="I95" s="10">
        <f t="shared" si="5"/>
        <v>0</v>
      </c>
      <c r="K95" s="3" t="s">
        <v>345</v>
      </c>
      <c r="L95" s="3">
        <v>11</v>
      </c>
      <c r="M95" s="2">
        <v>79</v>
      </c>
      <c r="N95" s="10">
        <f>Table6[[#This Row],[سعودي]]/Table6[[#This Row],[مجموع العمالة ]]</f>
        <v>0.13924050632911392</v>
      </c>
    </row>
    <row r="96" spans="1:14" x14ac:dyDescent="0.55000000000000004">
      <c r="A96" s="3" t="s">
        <v>346</v>
      </c>
      <c r="B96" s="3">
        <v>1</v>
      </c>
      <c r="C96" s="3">
        <v>1</v>
      </c>
      <c r="D96" s="9">
        <f t="shared" si="4"/>
        <v>1</v>
      </c>
      <c r="F96" s="2" t="s">
        <v>347</v>
      </c>
      <c r="G96" s="2">
        <v>5</v>
      </c>
      <c r="H96" s="2">
        <v>20</v>
      </c>
      <c r="I96" s="10">
        <f t="shared" si="5"/>
        <v>0.25</v>
      </c>
      <c r="K96" s="3" t="s">
        <v>348</v>
      </c>
      <c r="L96" s="3">
        <v>10</v>
      </c>
      <c r="M96" s="2">
        <v>302</v>
      </c>
      <c r="N96" s="10">
        <f>Table6[[#This Row],[سعودي]]/Table6[[#This Row],[مجموع العمالة ]]</f>
        <v>3.3112582781456956E-2</v>
      </c>
    </row>
    <row r="97" spans="1:14" x14ac:dyDescent="0.55000000000000004">
      <c r="A97" s="3" t="s">
        <v>349</v>
      </c>
      <c r="B97" s="3">
        <v>0</v>
      </c>
      <c r="C97" s="3">
        <v>1</v>
      </c>
      <c r="D97" s="9">
        <f t="shared" si="4"/>
        <v>0</v>
      </c>
      <c r="F97" s="2" t="s">
        <v>350</v>
      </c>
      <c r="G97" s="2">
        <v>1</v>
      </c>
      <c r="H97" s="2">
        <v>18</v>
      </c>
      <c r="I97" s="10">
        <f t="shared" si="5"/>
        <v>5.5555555555555552E-2</v>
      </c>
      <c r="K97" s="3" t="s">
        <v>351</v>
      </c>
      <c r="L97" s="3">
        <v>10</v>
      </c>
      <c r="M97" s="2">
        <v>75</v>
      </c>
      <c r="N97" s="10">
        <f>Table6[[#This Row],[سعودي]]/Table6[[#This Row],[مجموع العمالة ]]</f>
        <v>0.13333333333333333</v>
      </c>
    </row>
    <row r="98" spans="1:14" x14ac:dyDescent="0.55000000000000004">
      <c r="F98" s="2" t="s">
        <v>352</v>
      </c>
      <c r="G98" s="2">
        <v>9</v>
      </c>
      <c r="H98" s="2">
        <v>15</v>
      </c>
      <c r="I98" s="10">
        <f t="shared" si="5"/>
        <v>0.6</v>
      </c>
      <c r="K98" s="3" t="s">
        <v>353</v>
      </c>
      <c r="L98" s="3">
        <v>10</v>
      </c>
      <c r="M98" s="2">
        <v>52</v>
      </c>
      <c r="N98" s="10">
        <f>Table6[[#This Row],[سعودي]]/Table6[[#This Row],[مجموع العمالة ]]</f>
        <v>0.19230769230769232</v>
      </c>
    </row>
    <row r="99" spans="1:14" x14ac:dyDescent="0.55000000000000004">
      <c r="F99" s="2" t="s">
        <v>354</v>
      </c>
      <c r="G99" s="2">
        <v>7</v>
      </c>
      <c r="H99" s="2">
        <v>13</v>
      </c>
      <c r="I99" s="10">
        <f t="shared" si="5"/>
        <v>0.53846153846153844</v>
      </c>
      <c r="K99" s="3" t="s">
        <v>355</v>
      </c>
      <c r="L99" s="3">
        <v>10</v>
      </c>
      <c r="M99" s="2">
        <v>40</v>
      </c>
      <c r="N99" s="10">
        <f>Table6[[#This Row],[سعودي]]/Table6[[#This Row],[مجموع العمالة ]]</f>
        <v>0.25</v>
      </c>
    </row>
    <row r="100" spans="1:14" x14ac:dyDescent="0.55000000000000004">
      <c r="F100" s="2" t="s">
        <v>356</v>
      </c>
      <c r="G100" s="2">
        <v>8</v>
      </c>
      <c r="H100" s="2">
        <v>13</v>
      </c>
      <c r="I100" s="10">
        <f t="shared" si="5"/>
        <v>0.61538461538461542</v>
      </c>
      <c r="K100" s="3" t="s">
        <v>357</v>
      </c>
      <c r="L100" s="3">
        <v>10</v>
      </c>
      <c r="M100" s="2">
        <v>14</v>
      </c>
      <c r="N100" s="10">
        <f>Table6[[#This Row],[سعودي]]/Table6[[#This Row],[مجموع العمالة ]]</f>
        <v>0.7142857142857143</v>
      </c>
    </row>
    <row r="101" spans="1:14" x14ac:dyDescent="0.55000000000000004">
      <c r="F101" s="2" t="s">
        <v>358</v>
      </c>
      <c r="G101" s="2">
        <v>7</v>
      </c>
      <c r="H101" s="2">
        <v>13</v>
      </c>
      <c r="I101" s="10">
        <f t="shared" si="5"/>
        <v>0.53846153846153844</v>
      </c>
      <c r="K101" s="3" t="s">
        <v>359</v>
      </c>
      <c r="L101" s="3">
        <v>9</v>
      </c>
      <c r="M101" s="2">
        <v>205</v>
      </c>
      <c r="N101" s="10">
        <f>Table6[[#This Row],[سعودي]]/Table6[[#This Row],[مجموع العمالة ]]</f>
        <v>4.3902439024390241E-2</v>
      </c>
    </row>
    <row r="102" spans="1:14" x14ac:dyDescent="0.55000000000000004">
      <c r="F102" s="2" t="s">
        <v>360</v>
      </c>
      <c r="G102" s="2">
        <v>7</v>
      </c>
      <c r="H102" s="2">
        <v>11</v>
      </c>
      <c r="I102" s="10">
        <f t="shared" si="5"/>
        <v>0.63636363636363635</v>
      </c>
      <c r="K102" s="3" t="s">
        <v>361</v>
      </c>
      <c r="L102" s="3">
        <v>9</v>
      </c>
      <c r="M102" s="2">
        <v>83</v>
      </c>
      <c r="N102" s="10">
        <f>Table6[[#This Row],[سعودي]]/Table6[[#This Row],[مجموع العمالة ]]</f>
        <v>0.10843373493975904</v>
      </c>
    </row>
    <row r="103" spans="1:14" x14ac:dyDescent="0.55000000000000004">
      <c r="F103" s="2" t="s">
        <v>362</v>
      </c>
      <c r="G103" s="2">
        <v>8</v>
      </c>
      <c r="H103" s="2">
        <v>11</v>
      </c>
      <c r="I103" s="10">
        <f t="shared" si="5"/>
        <v>0.72727272727272729</v>
      </c>
      <c r="K103" s="3" t="s">
        <v>363</v>
      </c>
      <c r="L103" s="3">
        <v>9</v>
      </c>
      <c r="M103" s="2">
        <v>73</v>
      </c>
      <c r="N103" s="10">
        <f>Table6[[#This Row],[سعودي]]/Table6[[#This Row],[مجموع العمالة ]]</f>
        <v>0.12328767123287671</v>
      </c>
    </row>
    <row r="104" spans="1:14" x14ac:dyDescent="0.55000000000000004">
      <c r="F104" s="2" t="s">
        <v>364</v>
      </c>
      <c r="G104" s="2">
        <v>5</v>
      </c>
      <c r="H104" s="2">
        <v>11</v>
      </c>
      <c r="I104" s="10">
        <f t="shared" si="5"/>
        <v>0.45454545454545453</v>
      </c>
      <c r="K104" s="3" t="s">
        <v>365</v>
      </c>
      <c r="L104" s="3">
        <v>9</v>
      </c>
      <c r="M104" s="2">
        <v>59</v>
      </c>
      <c r="N104" s="10">
        <f>Table6[[#This Row],[سعودي]]/Table6[[#This Row],[مجموع العمالة ]]</f>
        <v>0.15254237288135594</v>
      </c>
    </row>
    <row r="105" spans="1:14" x14ac:dyDescent="0.55000000000000004">
      <c r="F105" s="2" t="s">
        <v>366</v>
      </c>
      <c r="G105" s="2">
        <v>6</v>
      </c>
      <c r="H105" s="2">
        <v>8</v>
      </c>
      <c r="I105" s="10">
        <f t="shared" si="5"/>
        <v>0.75</v>
      </c>
      <c r="K105" s="3" t="s">
        <v>367</v>
      </c>
      <c r="L105" s="3">
        <v>9</v>
      </c>
      <c r="M105" s="2">
        <v>42</v>
      </c>
      <c r="N105" s="10">
        <f>Table6[[#This Row],[سعودي]]/Table6[[#This Row],[مجموع العمالة ]]</f>
        <v>0.21428571428571427</v>
      </c>
    </row>
    <row r="106" spans="1:14" x14ac:dyDescent="0.55000000000000004">
      <c r="F106" s="2" t="s">
        <v>368</v>
      </c>
      <c r="G106" s="2">
        <v>5</v>
      </c>
      <c r="H106" s="2">
        <v>8</v>
      </c>
      <c r="I106" s="10">
        <f t="shared" si="5"/>
        <v>0.625</v>
      </c>
      <c r="K106" s="3" t="s">
        <v>369</v>
      </c>
      <c r="L106" s="3">
        <v>9</v>
      </c>
      <c r="M106" s="2">
        <v>26</v>
      </c>
      <c r="N106" s="10">
        <f>Table6[[#This Row],[سعودي]]/Table6[[#This Row],[مجموع العمالة ]]</f>
        <v>0.34615384615384615</v>
      </c>
    </row>
    <row r="107" spans="1:14" x14ac:dyDescent="0.55000000000000004">
      <c r="F107" s="2" t="s">
        <v>370</v>
      </c>
      <c r="G107" s="2">
        <v>5</v>
      </c>
      <c r="H107" s="2">
        <v>8</v>
      </c>
      <c r="I107" s="10">
        <f t="shared" si="5"/>
        <v>0.625</v>
      </c>
      <c r="K107" s="3" t="s">
        <v>371</v>
      </c>
      <c r="L107" s="3">
        <v>9</v>
      </c>
      <c r="M107" s="2">
        <v>11</v>
      </c>
      <c r="N107" s="10">
        <f>Table6[[#This Row],[سعودي]]/Table6[[#This Row],[مجموع العمالة ]]</f>
        <v>0.81818181818181823</v>
      </c>
    </row>
    <row r="108" spans="1:14" x14ac:dyDescent="0.55000000000000004">
      <c r="F108" s="2" t="s">
        <v>372</v>
      </c>
      <c r="G108" s="2">
        <v>3</v>
      </c>
      <c r="H108" s="2">
        <v>7</v>
      </c>
      <c r="I108" s="10">
        <f t="shared" si="5"/>
        <v>0.42857142857142855</v>
      </c>
      <c r="K108" s="3" t="s">
        <v>373</v>
      </c>
      <c r="L108" s="3">
        <v>8</v>
      </c>
      <c r="M108" s="2">
        <v>86</v>
      </c>
      <c r="N108" s="10">
        <f>Table6[[#This Row],[سعودي]]/Table6[[#This Row],[مجموع العمالة ]]</f>
        <v>9.3023255813953487E-2</v>
      </c>
    </row>
    <row r="109" spans="1:14" x14ac:dyDescent="0.55000000000000004">
      <c r="F109" s="2" t="s">
        <v>374</v>
      </c>
      <c r="G109" s="2">
        <v>4</v>
      </c>
      <c r="H109" s="2">
        <v>6</v>
      </c>
      <c r="I109" s="10">
        <f t="shared" si="5"/>
        <v>0.66666666666666663</v>
      </c>
      <c r="K109" s="3" t="s">
        <v>375</v>
      </c>
      <c r="L109" s="3">
        <v>8</v>
      </c>
      <c r="M109" s="2">
        <v>82</v>
      </c>
      <c r="N109" s="10">
        <f>Table6[[#This Row],[سعودي]]/Table6[[#This Row],[مجموع العمالة ]]</f>
        <v>9.7560975609756101E-2</v>
      </c>
    </row>
    <row r="110" spans="1:14" x14ac:dyDescent="0.55000000000000004">
      <c r="F110" s="2" t="s">
        <v>376</v>
      </c>
      <c r="G110" s="2">
        <v>4</v>
      </c>
      <c r="H110" s="2">
        <v>6</v>
      </c>
      <c r="I110" s="10">
        <f t="shared" si="5"/>
        <v>0.66666666666666663</v>
      </c>
      <c r="K110" s="3" t="s">
        <v>377</v>
      </c>
      <c r="L110" s="3">
        <v>8</v>
      </c>
      <c r="M110" s="2">
        <v>77</v>
      </c>
      <c r="N110" s="10">
        <f>Table6[[#This Row],[سعودي]]/Table6[[#This Row],[مجموع العمالة ]]</f>
        <v>0.1038961038961039</v>
      </c>
    </row>
    <row r="111" spans="1:14" x14ac:dyDescent="0.55000000000000004">
      <c r="F111" s="2" t="s">
        <v>378</v>
      </c>
      <c r="G111" s="2">
        <v>0</v>
      </c>
      <c r="H111" s="2">
        <v>5</v>
      </c>
      <c r="I111" s="10">
        <f t="shared" si="5"/>
        <v>0</v>
      </c>
      <c r="K111" s="3" t="s">
        <v>379</v>
      </c>
      <c r="L111" s="3">
        <v>8</v>
      </c>
      <c r="M111" s="2">
        <v>75</v>
      </c>
      <c r="N111" s="10">
        <f>Table6[[#This Row],[سعودي]]/Table6[[#This Row],[مجموع العمالة ]]</f>
        <v>0.10666666666666667</v>
      </c>
    </row>
    <row r="112" spans="1:14" x14ac:dyDescent="0.55000000000000004">
      <c r="F112" s="2" t="s">
        <v>380</v>
      </c>
      <c r="G112" s="2">
        <v>3</v>
      </c>
      <c r="H112" s="2">
        <v>4</v>
      </c>
      <c r="I112" s="10">
        <f t="shared" si="5"/>
        <v>0.75</v>
      </c>
      <c r="K112" s="3" t="s">
        <v>381</v>
      </c>
      <c r="L112" s="3">
        <v>8</v>
      </c>
      <c r="M112" s="2">
        <v>41</v>
      </c>
      <c r="N112" s="10">
        <f>Table6[[#This Row],[سعودي]]/Table6[[#This Row],[مجموع العمالة ]]</f>
        <v>0.1951219512195122</v>
      </c>
    </row>
    <row r="113" spans="6:14" x14ac:dyDescent="0.55000000000000004">
      <c r="F113" s="2" t="s">
        <v>382</v>
      </c>
      <c r="G113" s="2">
        <v>4</v>
      </c>
      <c r="H113" s="2">
        <v>4</v>
      </c>
      <c r="I113" s="10">
        <f t="shared" si="5"/>
        <v>1</v>
      </c>
      <c r="K113" s="3" t="s">
        <v>383</v>
      </c>
      <c r="L113" s="3">
        <v>8</v>
      </c>
      <c r="M113" s="2">
        <v>32</v>
      </c>
      <c r="N113" s="10">
        <f>Table6[[#This Row],[سعودي]]/Table6[[#This Row],[مجموع العمالة ]]</f>
        <v>0.25</v>
      </c>
    </row>
    <row r="114" spans="6:14" x14ac:dyDescent="0.55000000000000004">
      <c r="F114" s="2" t="s">
        <v>384</v>
      </c>
      <c r="G114" s="2">
        <v>2</v>
      </c>
      <c r="H114" s="2">
        <v>4</v>
      </c>
      <c r="I114" s="10">
        <f t="shared" si="5"/>
        <v>0.5</v>
      </c>
      <c r="K114" s="3" t="s">
        <v>385</v>
      </c>
      <c r="L114" s="3">
        <v>8</v>
      </c>
      <c r="M114" s="2">
        <v>25</v>
      </c>
      <c r="N114" s="10">
        <f>Table6[[#This Row],[سعودي]]/Table6[[#This Row],[مجموع العمالة ]]</f>
        <v>0.32</v>
      </c>
    </row>
    <row r="115" spans="6:14" x14ac:dyDescent="0.55000000000000004">
      <c r="F115" s="2" t="s">
        <v>386</v>
      </c>
      <c r="G115" s="2">
        <v>0</v>
      </c>
      <c r="H115" s="2">
        <v>3</v>
      </c>
      <c r="I115" s="10">
        <f t="shared" si="5"/>
        <v>0</v>
      </c>
      <c r="K115" s="3" t="s">
        <v>387</v>
      </c>
      <c r="L115" s="3">
        <v>7</v>
      </c>
      <c r="M115" s="2">
        <v>111</v>
      </c>
      <c r="N115" s="10">
        <f>Table6[[#This Row],[سعودي]]/Table6[[#This Row],[مجموع العمالة ]]</f>
        <v>6.3063063063063057E-2</v>
      </c>
    </row>
    <row r="116" spans="6:14" x14ac:dyDescent="0.55000000000000004">
      <c r="F116" s="2" t="s">
        <v>388</v>
      </c>
      <c r="G116" s="2">
        <v>2</v>
      </c>
      <c r="H116" s="2">
        <v>3</v>
      </c>
      <c r="I116" s="10">
        <f t="shared" si="5"/>
        <v>0.66666666666666663</v>
      </c>
      <c r="K116" s="3" t="s">
        <v>389</v>
      </c>
      <c r="L116" s="3">
        <v>7</v>
      </c>
      <c r="M116" s="2">
        <v>105</v>
      </c>
      <c r="N116" s="10">
        <f>Table6[[#This Row],[سعودي]]/Table6[[#This Row],[مجموع العمالة ]]</f>
        <v>6.6666666666666666E-2</v>
      </c>
    </row>
    <row r="117" spans="6:14" x14ac:dyDescent="0.55000000000000004">
      <c r="F117" s="2" t="s">
        <v>390</v>
      </c>
      <c r="G117" s="2">
        <v>1</v>
      </c>
      <c r="H117" s="2">
        <v>2</v>
      </c>
      <c r="I117" s="10">
        <f t="shared" si="5"/>
        <v>0.5</v>
      </c>
      <c r="K117" s="3" t="s">
        <v>391</v>
      </c>
      <c r="L117" s="3">
        <v>7</v>
      </c>
      <c r="M117" s="2">
        <v>103</v>
      </c>
      <c r="N117" s="10">
        <f>Table6[[#This Row],[سعودي]]/Table6[[#This Row],[مجموع العمالة ]]</f>
        <v>6.7961165048543687E-2</v>
      </c>
    </row>
    <row r="118" spans="6:14" x14ac:dyDescent="0.55000000000000004">
      <c r="F118" s="2" t="s">
        <v>392</v>
      </c>
      <c r="G118" s="2">
        <v>2</v>
      </c>
      <c r="H118" s="2">
        <v>2</v>
      </c>
      <c r="I118" s="10">
        <f t="shared" si="5"/>
        <v>1</v>
      </c>
      <c r="K118" s="3" t="s">
        <v>393</v>
      </c>
      <c r="L118" s="3">
        <v>7</v>
      </c>
      <c r="M118" s="2">
        <v>43</v>
      </c>
      <c r="N118" s="10">
        <f>Table6[[#This Row],[سعودي]]/Table6[[#This Row],[مجموع العمالة ]]</f>
        <v>0.16279069767441862</v>
      </c>
    </row>
    <row r="119" spans="6:14" x14ac:dyDescent="0.55000000000000004">
      <c r="F119" s="2" t="s">
        <v>394</v>
      </c>
      <c r="G119" s="2">
        <v>2</v>
      </c>
      <c r="H119" s="2">
        <v>2</v>
      </c>
      <c r="I119" s="10">
        <f t="shared" si="5"/>
        <v>1</v>
      </c>
      <c r="K119" s="3" t="s">
        <v>395</v>
      </c>
      <c r="L119" s="3">
        <v>7</v>
      </c>
      <c r="M119" s="2">
        <v>30</v>
      </c>
      <c r="N119" s="10">
        <f>Table6[[#This Row],[سعودي]]/Table6[[#This Row],[مجموع العمالة ]]</f>
        <v>0.23333333333333334</v>
      </c>
    </row>
    <row r="120" spans="6:14" x14ac:dyDescent="0.55000000000000004">
      <c r="F120" s="2" t="s">
        <v>396</v>
      </c>
      <c r="G120" s="2">
        <v>1</v>
      </c>
      <c r="H120" s="2">
        <v>2</v>
      </c>
      <c r="I120" s="10">
        <f t="shared" si="5"/>
        <v>0.5</v>
      </c>
      <c r="K120" s="3" t="s">
        <v>397</v>
      </c>
      <c r="L120" s="3">
        <v>7</v>
      </c>
      <c r="M120" s="2">
        <v>10</v>
      </c>
      <c r="N120" s="10">
        <f>Table6[[#This Row],[سعودي]]/Table6[[#This Row],[مجموع العمالة ]]</f>
        <v>0.7</v>
      </c>
    </row>
    <row r="121" spans="6:14" x14ac:dyDescent="0.55000000000000004">
      <c r="F121" s="2" t="s">
        <v>398</v>
      </c>
      <c r="G121" s="2">
        <v>0</v>
      </c>
      <c r="H121" s="2">
        <v>1</v>
      </c>
      <c r="I121" s="10">
        <f t="shared" si="5"/>
        <v>0</v>
      </c>
      <c r="K121" s="3" t="s">
        <v>399</v>
      </c>
      <c r="L121" s="3">
        <v>7</v>
      </c>
      <c r="M121" s="2">
        <v>9</v>
      </c>
      <c r="N121" s="10">
        <f>Table6[[#This Row],[سعودي]]/Table6[[#This Row],[مجموع العمالة ]]</f>
        <v>0.77777777777777779</v>
      </c>
    </row>
    <row r="122" spans="6:14" x14ac:dyDescent="0.55000000000000004">
      <c r="F122" s="2" t="s">
        <v>400</v>
      </c>
      <c r="G122" s="2">
        <v>0</v>
      </c>
      <c r="H122" s="2">
        <v>1</v>
      </c>
      <c r="I122" s="10">
        <f t="shared" si="5"/>
        <v>0</v>
      </c>
      <c r="K122" s="3" t="s">
        <v>401</v>
      </c>
      <c r="L122" s="3">
        <v>6</v>
      </c>
      <c r="M122" s="2">
        <v>117</v>
      </c>
      <c r="N122" s="10">
        <f>Table6[[#This Row],[سعودي]]/Table6[[#This Row],[مجموع العمالة ]]</f>
        <v>5.128205128205128E-2</v>
      </c>
    </row>
    <row r="123" spans="6:14" x14ac:dyDescent="0.55000000000000004">
      <c r="F123" s="2" t="s">
        <v>402</v>
      </c>
      <c r="G123" s="2">
        <v>1</v>
      </c>
      <c r="H123" s="2">
        <v>1</v>
      </c>
      <c r="I123" s="10">
        <f t="shared" si="5"/>
        <v>1</v>
      </c>
      <c r="K123" s="3" t="s">
        <v>403</v>
      </c>
      <c r="L123" s="3">
        <v>6</v>
      </c>
      <c r="M123" s="2">
        <v>78</v>
      </c>
      <c r="N123" s="10">
        <f>Table6[[#This Row],[سعودي]]/Table6[[#This Row],[مجموع العمالة ]]</f>
        <v>7.6923076923076927E-2</v>
      </c>
    </row>
    <row r="124" spans="6:14" x14ac:dyDescent="0.55000000000000004">
      <c r="K124" s="3" t="s">
        <v>404</v>
      </c>
      <c r="L124" s="3">
        <v>6</v>
      </c>
      <c r="M124" s="2">
        <v>49</v>
      </c>
      <c r="N124" s="10">
        <f>Table6[[#This Row],[سعودي]]/Table6[[#This Row],[مجموع العمالة ]]</f>
        <v>0.12244897959183673</v>
      </c>
    </row>
    <row r="125" spans="6:14" x14ac:dyDescent="0.55000000000000004">
      <c r="K125" s="3" t="s">
        <v>405</v>
      </c>
      <c r="L125" s="3">
        <v>6</v>
      </c>
      <c r="M125" s="2">
        <v>39</v>
      </c>
      <c r="N125" s="10">
        <f>Table6[[#This Row],[سعودي]]/Table6[[#This Row],[مجموع العمالة ]]</f>
        <v>0.15384615384615385</v>
      </c>
    </row>
    <row r="126" spans="6:14" x14ac:dyDescent="0.55000000000000004">
      <c r="K126" s="3" t="s">
        <v>406</v>
      </c>
      <c r="L126" s="3">
        <v>6</v>
      </c>
      <c r="M126" s="2">
        <v>33</v>
      </c>
      <c r="N126" s="10">
        <f>Table6[[#This Row],[سعودي]]/Table6[[#This Row],[مجموع العمالة ]]</f>
        <v>0.18181818181818182</v>
      </c>
    </row>
    <row r="127" spans="6:14" x14ac:dyDescent="0.55000000000000004">
      <c r="K127" s="3" t="s">
        <v>407</v>
      </c>
      <c r="L127" s="3">
        <v>6</v>
      </c>
      <c r="M127" s="2">
        <v>25</v>
      </c>
      <c r="N127" s="10">
        <f>Table6[[#This Row],[سعودي]]/Table6[[#This Row],[مجموع العمالة ]]</f>
        <v>0.24</v>
      </c>
    </row>
    <row r="128" spans="6:14" x14ac:dyDescent="0.55000000000000004">
      <c r="K128" s="3" t="s">
        <v>408</v>
      </c>
      <c r="L128" s="3">
        <v>6</v>
      </c>
      <c r="M128" s="2">
        <v>24</v>
      </c>
      <c r="N128" s="10">
        <f>Table6[[#This Row],[سعودي]]/Table6[[#This Row],[مجموع العمالة ]]</f>
        <v>0.25</v>
      </c>
    </row>
    <row r="129" spans="11:14" x14ac:dyDescent="0.55000000000000004">
      <c r="K129" s="3" t="s">
        <v>409</v>
      </c>
      <c r="L129" s="3">
        <v>5</v>
      </c>
      <c r="M129" s="2">
        <v>132</v>
      </c>
      <c r="N129" s="10">
        <f>Table6[[#This Row],[سعودي]]/Table6[[#This Row],[مجموع العمالة ]]</f>
        <v>3.787878787878788E-2</v>
      </c>
    </row>
    <row r="130" spans="11:14" x14ac:dyDescent="0.55000000000000004">
      <c r="K130" s="3" t="s">
        <v>410</v>
      </c>
      <c r="L130" s="3">
        <v>5</v>
      </c>
      <c r="M130" s="2">
        <v>106</v>
      </c>
      <c r="N130" s="10">
        <f>Table6[[#This Row],[سعودي]]/Table6[[#This Row],[مجموع العمالة ]]</f>
        <v>4.716981132075472E-2</v>
      </c>
    </row>
    <row r="131" spans="11:14" x14ac:dyDescent="0.55000000000000004">
      <c r="K131" s="3" t="s">
        <v>411</v>
      </c>
      <c r="L131" s="3">
        <v>5</v>
      </c>
      <c r="M131" s="2">
        <v>105</v>
      </c>
      <c r="N131" s="10">
        <f>Table6[[#This Row],[سعودي]]/Table6[[#This Row],[مجموع العمالة ]]</f>
        <v>4.7619047619047616E-2</v>
      </c>
    </row>
    <row r="132" spans="11:14" x14ac:dyDescent="0.55000000000000004">
      <c r="K132" s="3" t="s">
        <v>412</v>
      </c>
      <c r="L132" s="3">
        <v>5</v>
      </c>
      <c r="M132" s="2">
        <v>98</v>
      </c>
      <c r="N132" s="10">
        <f>Table6[[#This Row],[سعودي]]/Table6[[#This Row],[مجموع العمالة ]]</f>
        <v>5.1020408163265307E-2</v>
      </c>
    </row>
    <row r="133" spans="11:14" x14ac:dyDescent="0.55000000000000004">
      <c r="K133" s="3" t="s">
        <v>413</v>
      </c>
      <c r="L133" s="3">
        <v>5</v>
      </c>
      <c r="M133" s="2">
        <v>57</v>
      </c>
      <c r="N133" s="10">
        <f>Table6[[#This Row],[سعودي]]/Table6[[#This Row],[مجموع العمالة ]]</f>
        <v>8.771929824561403E-2</v>
      </c>
    </row>
    <row r="134" spans="11:14" x14ac:dyDescent="0.55000000000000004">
      <c r="K134" s="3" t="s">
        <v>414</v>
      </c>
      <c r="L134" s="3">
        <v>5</v>
      </c>
      <c r="M134" s="2">
        <v>46</v>
      </c>
      <c r="N134" s="10">
        <f>Table6[[#This Row],[سعودي]]/Table6[[#This Row],[مجموع العمالة ]]</f>
        <v>0.10869565217391304</v>
      </c>
    </row>
    <row r="135" spans="11:14" x14ac:dyDescent="0.55000000000000004">
      <c r="K135" s="3" t="s">
        <v>415</v>
      </c>
      <c r="L135" s="3">
        <v>5</v>
      </c>
      <c r="M135" s="2">
        <v>42</v>
      </c>
      <c r="N135" s="10">
        <f>Table6[[#This Row],[سعودي]]/Table6[[#This Row],[مجموع العمالة ]]</f>
        <v>0.11904761904761904</v>
      </c>
    </row>
    <row r="136" spans="11:14" x14ac:dyDescent="0.55000000000000004">
      <c r="K136" s="3" t="s">
        <v>416</v>
      </c>
      <c r="L136" s="3">
        <v>5</v>
      </c>
      <c r="M136" s="2">
        <v>22</v>
      </c>
      <c r="N136" s="10">
        <f>Table6[[#This Row],[سعودي]]/Table6[[#This Row],[مجموع العمالة ]]</f>
        <v>0.22727272727272727</v>
      </c>
    </row>
    <row r="137" spans="11:14" x14ac:dyDescent="0.55000000000000004">
      <c r="K137" s="3" t="s">
        <v>417</v>
      </c>
      <c r="L137" s="3">
        <v>5</v>
      </c>
      <c r="M137" s="2">
        <v>21</v>
      </c>
      <c r="N137" s="10">
        <f>Table6[[#This Row],[سعودي]]/Table6[[#This Row],[مجموع العمالة ]]</f>
        <v>0.23809523809523808</v>
      </c>
    </row>
    <row r="138" spans="11:14" x14ac:dyDescent="0.55000000000000004">
      <c r="K138" s="3" t="s">
        <v>418</v>
      </c>
      <c r="L138" s="3">
        <v>5</v>
      </c>
      <c r="M138" s="2">
        <v>19</v>
      </c>
      <c r="N138" s="10">
        <f>Table6[[#This Row],[سعودي]]/Table6[[#This Row],[مجموع العمالة ]]</f>
        <v>0.26315789473684209</v>
      </c>
    </row>
    <row r="139" spans="11:14" x14ac:dyDescent="0.55000000000000004">
      <c r="K139" s="3" t="s">
        <v>419</v>
      </c>
      <c r="L139" s="3">
        <v>5</v>
      </c>
      <c r="M139" s="2">
        <v>13</v>
      </c>
      <c r="N139" s="10">
        <f>Table6[[#This Row],[سعودي]]/Table6[[#This Row],[مجموع العمالة ]]</f>
        <v>0.38461538461538464</v>
      </c>
    </row>
    <row r="140" spans="11:14" x14ac:dyDescent="0.55000000000000004">
      <c r="K140" s="3" t="s">
        <v>420</v>
      </c>
      <c r="L140" s="3">
        <v>5</v>
      </c>
      <c r="M140" s="2">
        <v>6</v>
      </c>
      <c r="N140" s="10">
        <f>Table6[[#This Row],[سعودي]]/Table6[[#This Row],[مجموع العمالة ]]</f>
        <v>0.83333333333333337</v>
      </c>
    </row>
    <row r="141" spans="11:14" x14ac:dyDescent="0.55000000000000004">
      <c r="K141" s="3" t="s">
        <v>421</v>
      </c>
      <c r="L141" s="3">
        <v>5</v>
      </c>
      <c r="M141" s="2">
        <v>6</v>
      </c>
      <c r="N141" s="10">
        <f>Table6[[#This Row],[سعودي]]/Table6[[#This Row],[مجموع العمالة ]]</f>
        <v>0.83333333333333337</v>
      </c>
    </row>
    <row r="142" spans="11:14" x14ac:dyDescent="0.55000000000000004">
      <c r="K142" s="3" t="s">
        <v>422</v>
      </c>
      <c r="L142" s="3">
        <v>4</v>
      </c>
      <c r="M142" s="2">
        <v>241</v>
      </c>
      <c r="N142" s="10">
        <f>Table6[[#This Row],[سعودي]]/Table6[[#This Row],[مجموع العمالة ]]</f>
        <v>1.6597510373443983E-2</v>
      </c>
    </row>
    <row r="143" spans="11:14" x14ac:dyDescent="0.55000000000000004">
      <c r="K143" s="3" t="s">
        <v>423</v>
      </c>
      <c r="L143" s="3">
        <v>4</v>
      </c>
      <c r="M143" s="2">
        <v>184</v>
      </c>
      <c r="N143" s="10">
        <f>Table6[[#This Row],[سعودي]]/Table6[[#This Row],[مجموع العمالة ]]</f>
        <v>2.1739130434782608E-2</v>
      </c>
    </row>
    <row r="144" spans="11:14" x14ac:dyDescent="0.55000000000000004">
      <c r="K144" s="3" t="s">
        <v>424</v>
      </c>
      <c r="L144" s="3">
        <v>4</v>
      </c>
      <c r="M144" s="2">
        <v>26</v>
      </c>
      <c r="N144" s="10">
        <f>Table6[[#This Row],[سعودي]]/Table6[[#This Row],[مجموع العمالة ]]</f>
        <v>0.15384615384615385</v>
      </c>
    </row>
    <row r="145" spans="11:14" x14ac:dyDescent="0.55000000000000004">
      <c r="K145" s="3" t="s">
        <v>425</v>
      </c>
      <c r="L145" s="3">
        <v>4</v>
      </c>
      <c r="M145" s="2">
        <v>18</v>
      </c>
      <c r="N145" s="10">
        <f>Table6[[#This Row],[سعودي]]/Table6[[#This Row],[مجموع العمالة ]]</f>
        <v>0.22222222222222221</v>
      </c>
    </row>
    <row r="146" spans="11:14" x14ac:dyDescent="0.55000000000000004">
      <c r="K146" s="3" t="s">
        <v>426</v>
      </c>
      <c r="L146" s="3">
        <v>4</v>
      </c>
      <c r="M146" s="2">
        <v>16</v>
      </c>
      <c r="N146" s="10">
        <f>Table6[[#This Row],[سعودي]]/Table6[[#This Row],[مجموع العمالة ]]</f>
        <v>0.25</v>
      </c>
    </row>
    <row r="147" spans="11:14" x14ac:dyDescent="0.55000000000000004">
      <c r="K147" s="3" t="s">
        <v>427</v>
      </c>
      <c r="L147" s="3">
        <v>4</v>
      </c>
      <c r="M147" s="2">
        <v>16</v>
      </c>
      <c r="N147" s="10">
        <f>Table6[[#This Row],[سعودي]]/Table6[[#This Row],[مجموع العمالة ]]</f>
        <v>0.25</v>
      </c>
    </row>
    <row r="148" spans="11:14" x14ac:dyDescent="0.55000000000000004">
      <c r="K148" s="3" t="s">
        <v>428</v>
      </c>
      <c r="L148" s="3">
        <v>3</v>
      </c>
      <c r="M148" s="2">
        <v>426</v>
      </c>
      <c r="N148" s="10">
        <f>Table6[[#This Row],[سعودي]]/Table6[[#This Row],[مجموع العمالة ]]</f>
        <v>7.0422535211267607E-3</v>
      </c>
    </row>
    <row r="149" spans="11:14" x14ac:dyDescent="0.55000000000000004">
      <c r="K149" s="3" t="s">
        <v>429</v>
      </c>
      <c r="L149" s="3">
        <v>3</v>
      </c>
      <c r="M149" s="2">
        <v>318</v>
      </c>
      <c r="N149" s="10">
        <f>Table6[[#This Row],[سعودي]]/Table6[[#This Row],[مجموع العمالة ]]</f>
        <v>9.433962264150943E-3</v>
      </c>
    </row>
    <row r="150" spans="11:14" x14ac:dyDescent="0.55000000000000004">
      <c r="K150" s="3" t="s">
        <v>430</v>
      </c>
      <c r="L150" s="3">
        <v>3</v>
      </c>
      <c r="M150" s="2">
        <v>124</v>
      </c>
      <c r="N150" s="10">
        <f>Table6[[#This Row],[سعودي]]/Table6[[#This Row],[مجموع العمالة ]]</f>
        <v>2.4193548387096774E-2</v>
      </c>
    </row>
    <row r="151" spans="11:14" x14ac:dyDescent="0.55000000000000004">
      <c r="K151" s="3" t="s">
        <v>431</v>
      </c>
      <c r="L151" s="3">
        <v>3</v>
      </c>
      <c r="M151" s="2">
        <v>119</v>
      </c>
      <c r="N151" s="10">
        <f>Table6[[#This Row],[سعودي]]/Table6[[#This Row],[مجموع العمالة ]]</f>
        <v>2.5210084033613446E-2</v>
      </c>
    </row>
    <row r="152" spans="11:14" x14ac:dyDescent="0.55000000000000004">
      <c r="K152" s="3" t="s">
        <v>432</v>
      </c>
      <c r="L152" s="3">
        <v>3</v>
      </c>
      <c r="M152" s="2">
        <v>75</v>
      </c>
      <c r="N152" s="10">
        <f>Table6[[#This Row],[سعودي]]/Table6[[#This Row],[مجموع العمالة ]]</f>
        <v>0.04</v>
      </c>
    </row>
    <row r="153" spans="11:14" x14ac:dyDescent="0.55000000000000004">
      <c r="K153" s="3" t="s">
        <v>433</v>
      </c>
      <c r="L153" s="3">
        <v>3</v>
      </c>
      <c r="M153" s="2">
        <v>46</v>
      </c>
      <c r="N153" s="10">
        <f>Table6[[#This Row],[سعودي]]/Table6[[#This Row],[مجموع العمالة ]]</f>
        <v>6.5217391304347824E-2</v>
      </c>
    </row>
    <row r="154" spans="11:14" x14ac:dyDescent="0.55000000000000004">
      <c r="K154" s="3" t="s">
        <v>434</v>
      </c>
      <c r="L154" s="3">
        <v>3</v>
      </c>
      <c r="M154" s="2">
        <v>42</v>
      </c>
      <c r="N154" s="10">
        <f>Table6[[#This Row],[سعودي]]/Table6[[#This Row],[مجموع العمالة ]]</f>
        <v>7.1428571428571425E-2</v>
      </c>
    </row>
    <row r="155" spans="11:14" x14ac:dyDescent="0.55000000000000004">
      <c r="K155" s="3" t="s">
        <v>435</v>
      </c>
      <c r="L155" s="3">
        <v>3</v>
      </c>
      <c r="M155" s="2">
        <v>41</v>
      </c>
      <c r="N155" s="10">
        <f>Table6[[#This Row],[سعودي]]/Table6[[#This Row],[مجموع العمالة ]]</f>
        <v>7.3170731707317069E-2</v>
      </c>
    </row>
    <row r="156" spans="11:14" x14ac:dyDescent="0.55000000000000004">
      <c r="K156" s="3" t="s">
        <v>436</v>
      </c>
      <c r="L156" s="3">
        <v>3</v>
      </c>
      <c r="M156" s="2">
        <v>28</v>
      </c>
      <c r="N156" s="10">
        <f>Table6[[#This Row],[سعودي]]/Table6[[#This Row],[مجموع العمالة ]]</f>
        <v>0.10714285714285714</v>
      </c>
    </row>
    <row r="157" spans="11:14" x14ac:dyDescent="0.55000000000000004">
      <c r="K157" s="3" t="s">
        <v>437</v>
      </c>
      <c r="L157" s="3">
        <v>3</v>
      </c>
      <c r="M157" s="2">
        <v>23</v>
      </c>
      <c r="N157" s="10">
        <f>Table6[[#This Row],[سعودي]]/Table6[[#This Row],[مجموع العمالة ]]</f>
        <v>0.13043478260869565</v>
      </c>
    </row>
    <row r="158" spans="11:14" x14ac:dyDescent="0.55000000000000004">
      <c r="K158" s="3" t="s">
        <v>438</v>
      </c>
      <c r="L158" s="3">
        <v>3</v>
      </c>
      <c r="M158" s="2">
        <v>12</v>
      </c>
      <c r="N158" s="10">
        <f>Table6[[#This Row],[سعودي]]/Table6[[#This Row],[مجموع العمالة ]]</f>
        <v>0.25</v>
      </c>
    </row>
    <row r="159" spans="11:14" x14ac:dyDescent="0.55000000000000004">
      <c r="K159" s="3" t="s">
        <v>439</v>
      </c>
      <c r="L159" s="3">
        <v>3</v>
      </c>
      <c r="M159" s="2">
        <v>10</v>
      </c>
      <c r="N159" s="10">
        <f>Table6[[#This Row],[سعودي]]/Table6[[#This Row],[مجموع العمالة ]]</f>
        <v>0.3</v>
      </c>
    </row>
    <row r="160" spans="11:14" x14ac:dyDescent="0.55000000000000004">
      <c r="K160" s="3" t="s">
        <v>440</v>
      </c>
      <c r="L160" s="3">
        <v>3</v>
      </c>
      <c r="M160" s="2">
        <v>10</v>
      </c>
      <c r="N160" s="10">
        <f>Table6[[#This Row],[سعودي]]/Table6[[#This Row],[مجموع العمالة ]]</f>
        <v>0.3</v>
      </c>
    </row>
    <row r="161" spans="11:14" x14ac:dyDescent="0.55000000000000004">
      <c r="K161" s="3" t="s">
        <v>441</v>
      </c>
      <c r="L161" s="3">
        <v>3</v>
      </c>
      <c r="M161" s="2">
        <v>6</v>
      </c>
      <c r="N161" s="10">
        <f>Table6[[#This Row],[سعودي]]/Table6[[#This Row],[مجموع العمالة ]]</f>
        <v>0.5</v>
      </c>
    </row>
    <row r="162" spans="11:14" x14ac:dyDescent="0.55000000000000004">
      <c r="K162" s="3" t="s">
        <v>442</v>
      </c>
      <c r="L162" s="3">
        <v>2</v>
      </c>
      <c r="M162" s="2">
        <v>71</v>
      </c>
      <c r="N162" s="10">
        <f>Table6[[#This Row],[سعودي]]/Table6[[#This Row],[مجموع العمالة ]]</f>
        <v>2.8169014084507043E-2</v>
      </c>
    </row>
    <row r="163" spans="11:14" x14ac:dyDescent="0.55000000000000004">
      <c r="K163" s="3" t="s">
        <v>443</v>
      </c>
      <c r="L163" s="3">
        <v>2</v>
      </c>
      <c r="M163" s="2">
        <v>53</v>
      </c>
      <c r="N163" s="10">
        <f>Table6[[#This Row],[سعودي]]/Table6[[#This Row],[مجموع العمالة ]]</f>
        <v>3.7735849056603772E-2</v>
      </c>
    </row>
    <row r="164" spans="11:14" x14ac:dyDescent="0.55000000000000004">
      <c r="K164" s="3" t="s">
        <v>444</v>
      </c>
      <c r="L164" s="3">
        <v>2</v>
      </c>
      <c r="M164" s="2">
        <v>29</v>
      </c>
      <c r="N164" s="10">
        <f>Table6[[#This Row],[سعودي]]/Table6[[#This Row],[مجموع العمالة ]]</f>
        <v>6.8965517241379309E-2</v>
      </c>
    </row>
    <row r="165" spans="11:14" x14ac:dyDescent="0.55000000000000004">
      <c r="K165" s="3" t="s">
        <v>445</v>
      </c>
      <c r="L165" s="3">
        <v>2</v>
      </c>
      <c r="M165" s="2">
        <v>15</v>
      </c>
      <c r="N165" s="10">
        <f>Table6[[#This Row],[سعودي]]/Table6[[#This Row],[مجموع العمالة ]]</f>
        <v>0.13333333333333333</v>
      </c>
    </row>
    <row r="166" spans="11:14" x14ac:dyDescent="0.55000000000000004">
      <c r="K166" s="3" t="s">
        <v>446</v>
      </c>
      <c r="L166" s="3">
        <v>2</v>
      </c>
      <c r="M166" s="2">
        <v>13</v>
      </c>
      <c r="N166" s="10">
        <f>Table6[[#This Row],[سعودي]]/Table6[[#This Row],[مجموع العمالة ]]</f>
        <v>0.15384615384615385</v>
      </c>
    </row>
    <row r="167" spans="11:14" x14ac:dyDescent="0.55000000000000004">
      <c r="K167" s="3" t="s">
        <v>447</v>
      </c>
      <c r="L167" s="3">
        <v>2</v>
      </c>
      <c r="M167" s="2">
        <v>7</v>
      </c>
      <c r="N167" s="10">
        <f>Table6[[#This Row],[سعودي]]/Table6[[#This Row],[مجموع العمالة ]]</f>
        <v>0.2857142857142857</v>
      </c>
    </row>
    <row r="168" spans="11:14" x14ac:dyDescent="0.55000000000000004">
      <c r="K168" s="3" t="s">
        <v>448</v>
      </c>
      <c r="L168" s="3">
        <v>2</v>
      </c>
      <c r="M168" s="2">
        <v>6</v>
      </c>
      <c r="N168" s="10">
        <f>Table6[[#This Row],[سعودي]]/Table6[[#This Row],[مجموع العمالة ]]</f>
        <v>0.33333333333333331</v>
      </c>
    </row>
    <row r="169" spans="11:14" x14ac:dyDescent="0.55000000000000004">
      <c r="K169" s="3" t="s">
        <v>449</v>
      </c>
      <c r="L169" s="3">
        <v>2</v>
      </c>
      <c r="M169" s="2">
        <v>4</v>
      </c>
      <c r="N169" s="10">
        <f>Table6[[#This Row],[سعودي]]/Table6[[#This Row],[مجموع العمالة ]]</f>
        <v>0.5</v>
      </c>
    </row>
    <row r="170" spans="11:14" x14ac:dyDescent="0.55000000000000004">
      <c r="K170" s="3" t="s">
        <v>450</v>
      </c>
      <c r="L170" s="3">
        <v>1</v>
      </c>
      <c r="M170" s="2">
        <v>676</v>
      </c>
      <c r="N170" s="10">
        <f>Table6[[#This Row],[سعودي]]/Table6[[#This Row],[مجموع العمالة ]]</f>
        <v>1.4792899408284023E-3</v>
      </c>
    </row>
    <row r="171" spans="11:14" x14ac:dyDescent="0.55000000000000004">
      <c r="K171" s="3" t="s">
        <v>451</v>
      </c>
      <c r="L171" s="3">
        <v>1</v>
      </c>
      <c r="M171" s="2">
        <v>92</v>
      </c>
      <c r="N171" s="10">
        <f>Table6[[#This Row],[سعودي]]/Table6[[#This Row],[مجموع العمالة ]]</f>
        <v>1.0869565217391304E-2</v>
      </c>
    </row>
    <row r="172" spans="11:14" x14ac:dyDescent="0.55000000000000004">
      <c r="K172" s="3" t="s">
        <v>452</v>
      </c>
      <c r="L172" s="3">
        <v>1</v>
      </c>
      <c r="M172" s="2">
        <v>55</v>
      </c>
      <c r="N172" s="10">
        <f>Table6[[#This Row],[سعودي]]/Table6[[#This Row],[مجموع العمالة ]]</f>
        <v>1.8181818181818181E-2</v>
      </c>
    </row>
    <row r="173" spans="11:14" x14ac:dyDescent="0.55000000000000004">
      <c r="K173" s="3" t="s">
        <v>453</v>
      </c>
      <c r="L173" s="3">
        <v>1</v>
      </c>
      <c r="M173" s="2">
        <v>52</v>
      </c>
      <c r="N173" s="10">
        <f>Table6[[#This Row],[سعودي]]/Table6[[#This Row],[مجموع العمالة ]]</f>
        <v>1.9230769230769232E-2</v>
      </c>
    </row>
    <row r="174" spans="11:14" x14ac:dyDescent="0.55000000000000004">
      <c r="K174" s="3" t="s">
        <v>454</v>
      </c>
      <c r="L174" s="3">
        <v>1</v>
      </c>
      <c r="M174" s="2">
        <v>41</v>
      </c>
      <c r="N174" s="10">
        <f>Table6[[#This Row],[سعودي]]/Table6[[#This Row],[مجموع العمالة ]]</f>
        <v>2.4390243902439025E-2</v>
      </c>
    </row>
    <row r="175" spans="11:14" x14ac:dyDescent="0.55000000000000004">
      <c r="K175" s="3" t="s">
        <v>455</v>
      </c>
      <c r="L175" s="3">
        <v>1</v>
      </c>
      <c r="M175" s="2">
        <v>35</v>
      </c>
      <c r="N175" s="10">
        <f>Table6[[#This Row],[سعودي]]/Table6[[#This Row],[مجموع العمالة ]]</f>
        <v>2.8571428571428571E-2</v>
      </c>
    </row>
    <row r="176" spans="11:14" x14ac:dyDescent="0.55000000000000004">
      <c r="K176" s="3" t="s">
        <v>456</v>
      </c>
      <c r="L176" s="3">
        <v>1</v>
      </c>
      <c r="M176" s="2">
        <v>35</v>
      </c>
      <c r="N176" s="10">
        <f>Table6[[#This Row],[سعودي]]/Table6[[#This Row],[مجموع العمالة ]]</f>
        <v>2.8571428571428571E-2</v>
      </c>
    </row>
    <row r="177" spans="11:14" x14ac:dyDescent="0.55000000000000004">
      <c r="K177" s="3" t="s">
        <v>457</v>
      </c>
      <c r="L177" s="3">
        <v>1</v>
      </c>
      <c r="M177" s="2">
        <v>34</v>
      </c>
      <c r="N177" s="10">
        <f>Table6[[#This Row],[سعودي]]/Table6[[#This Row],[مجموع العمالة ]]</f>
        <v>2.9411764705882353E-2</v>
      </c>
    </row>
    <row r="178" spans="11:14" x14ac:dyDescent="0.55000000000000004">
      <c r="K178" s="3" t="s">
        <v>458</v>
      </c>
      <c r="L178" s="3">
        <v>1</v>
      </c>
      <c r="M178" s="2">
        <v>34</v>
      </c>
      <c r="N178" s="10">
        <f>Table6[[#This Row],[سعودي]]/Table6[[#This Row],[مجموع العمالة ]]</f>
        <v>2.9411764705882353E-2</v>
      </c>
    </row>
    <row r="179" spans="11:14" x14ac:dyDescent="0.55000000000000004">
      <c r="K179" s="3" t="s">
        <v>459</v>
      </c>
      <c r="L179" s="3">
        <v>1</v>
      </c>
      <c r="M179" s="2">
        <v>32</v>
      </c>
      <c r="N179" s="10">
        <f>Table6[[#This Row],[سعودي]]/Table6[[#This Row],[مجموع العمالة ]]</f>
        <v>3.125E-2</v>
      </c>
    </row>
    <row r="180" spans="11:14" x14ac:dyDescent="0.55000000000000004">
      <c r="K180" s="3" t="s">
        <v>460</v>
      </c>
      <c r="L180" s="3">
        <v>1</v>
      </c>
      <c r="M180" s="2">
        <v>26</v>
      </c>
      <c r="N180" s="10">
        <f>Table6[[#This Row],[سعودي]]/Table6[[#This Row],[مجموع العمالة ]]</f>
        <v>3.8461538461538464E-2</v>
      </c>
    </row>
    <row r="181" spans="11:14" x14ac:dyDescent="0.55000000000000004">
      <c r="K181" s="3" t="s">
        <v>461</v>
      </c>
      <c r="L181" s="3">
        <v>1</v>
      </c>
      <c r="M181" s="2">
        <v>20</v>
      </c>
      <c r="N181" s="10">
        <f>Table6[[#This Row],[سعودي]]/Table6[[#This Row],[مجموع العمالة ]]</f>
        <v>0.05</v>
      </c>
    </row>
    <row r="182" spans="11:14" x14ac:dyDescent="0.55000000000000004">
      <c r="K182" s="3" t="s">
        <v>462</v>
      </c>
      <c r="L182" s="3">
        <v>1</v>
      </c>
      <c r="M182" s="2">
        <v>18</v>
      </c>
      <c r="N182" s="10">
        <f>Table6[[#This Row],[سعودي]]/Table6[[#This Row],[مجموع العمالة ]]</f>
        <v>5.5555555555555552E-2</v>
      </c>
    </row>
    <row r="183" spans="11:14" x14ac:dyDescent="0.55000000000000004">
      <c r="K183" s="3" t="s">
        <v>463</v>
      </c>
      <c r="L183" s="3">
        <v>1</v>
      </c>
      <c r="M183" s="2">
        <v>13</v>
      </c>
      <c r="N183" s="10">
        <f>Table6[[#This Row],[سعودي]]/Table6[[#This Row],[مجموع العمالة ]]</f>
        <v>7.6923076923076927E-2</v>
      </c>
    </row>
    <row r="184" spans="11:14" x14ac:dyDescent="0.55000000000000004">
      <c r="K184" s="3" t="s">
        <v>464</v>
      </c>
      <c r="L184" s="3">
        <v>1</v>
      </c>
      <c r="M184" s="2">
        <v>12</v>
      </c>
      <c r="N184" s="10">
        <f>Table6[[#This Row],[سعودي]]/Table6[[#This Row],[مجموع العمالة ]]</f>
        <v>8.3333333333333329E-2</v>
      </c>
    </row>
    <row r="185" spans="11:14" x14ac:dyDescent="0.55000000000000004">
      <c r="K185" s="3" t="s">
        <v>465</v>
      </c>
      <c r="L185" s="3">
        <v>1</v>
      </c>
      <c r="M185" s="2">
        <v>11</v>
      </c>
      <c r="N185" s="10">
        <f>Table6[[#This Row],[سعودي]]/Table6[[#This Row],[مجموع العمالة ]]</f>
        <v>9.0909090909090912E-2</v>
      </c>
    </row>
    <row r="186" spans="11:14" x14ac:dyDescent="0.55000000000000004">
      <c r="K186" s="3" t="s">
        <v>466</v>
      </c>
      <c r="L186" s="3">
        <v>1</v>
      </c>
      <c r="M186" s="2">
        <v>11</v>
      </c>
      <c r="N186" s="10">
        <f>Table6[[#This Row],[سعودي]]/Table6[[#This Row],[مجموع العمالة ]]</f>
        <v>9.0909090909090912E-2</v>
      </c>
    </row>
    <row r="187" spans="11:14" x14ac:dyDescent="0.55000000000000004">
      <c r="K187" s="3" t="s">
        <v>467</v>
      </c>
      <c r="L187" s="3">
        <v>1</v>
      </c>
      <c r="M187" s="2">
        <v>5</v>
      </c>
      <c r="N187" s="10">
        <f>Table6[[#This Row],[سعودي]]/Table6[[#This Row],[مجموع العمالة ]]</f>
        <v>0.2</v>
      </c>
    </row>
    <row r="188" spans="11:14" x14ac:dyDescent="0.55000000000000004">
      <c r="K188" s="3" t="s">
        <v>468</v>
      </c>
      <c r="L188" s="3">
        <v>1</v>
      </c>
      <c r="M188" s="2">
        <v>4</v>
      </c>
      <c r="N188" s="10">
        <f>Table6[[#This Row],[سعودي]]/Table6[[#This Row],[مجموع العمالة ]]</f>
        <v>0.25</v>
      </c>
    </row>
    <row r="189" spans="11:14" x14ac:dyDescent="0.55000000000000004">
      <c r="K189" s="3" t="s">
        <v>469</v>
      </c>
      <c r="L189" s="3">
        <v>1</v>
      </c>
      <c r="M189" s="2">
        <v>4</v>
      </c>
      <c r="N189" s="10">
        <f>Table6[[#This Row],[سعودي]]/Table6[[#This Row],[مجموع العمالة ]]</f>
        <v>0.25</v>
      </c>
    </row>
    <row r="190" spans="11:14" x14ac:dyDescent="0.55000000000000004">
      <c r="K190" s="3" t="s">
        <v>470</v>
      </c>
      <c r="L190" s="3">
        <v>1</v>
      </c>
      <c r="M190" s="2">
        <v>2</v>
      </c>
      <c r="N190" s="10">
        <f>Table6[[#This Row],[سعودي]]/Table6[[#This Row],[مجموع العمالة ]]</f>
        <v>0.5</v>
      </c>
    </row>
    <row r="191" spans="11:14" x14ac:dyDescent="0.55000000000000004">
      <c r="K191" s="3" t="s">
        <v>471</v>
      </c>
      <c r="L191" s="3">
        <v>1</v>
      </c>
      <c r="M191" s="2">
        <v>2</v>
      </c>
      <c r="N191" s="10">
        <f>Table6[[#This Row],[سعودي]]/Table6[[#This Row],[مجموع العمالة ]]</f>
        <v>0.5</v>
      </c>
    </row>
    <row r="192" spans="11:14" x14ac:dyDescent="0.55000000000000004">
      <c r="K192" s="3" t="s">
        <v>472</v>
      </c>
      <c r="L192" s="3">
        <v>1</v>
      </c>
      <c r="M192" s="2">
        <v>1</v>
      </c>
      <c r="N192" s="10">
        <f>Table6[[#This Row],[سعودي]]/Table6[[#This Row],[مجموع العمالة ]]</f>
        <v>1</v>
      </c>
    </row>
    <row r="193" spans="11:14" x14ac:dyDescent="0.55000000000000004">
      <c r="K193" s="3" t="s">
        <v>473</v>
      </c>
      <c r="L193" s="3">
        <v>1</v>
      </c>
      <c r="M193" s="2">
        <v>1</v>
      </c>
      <c r="N193" s="10">
        <f>Table6[[#This Row],[سعودي]]/Table6[[#This Row],[مجموع العمالة ]]</f>
        <v>1</v>
      </c>
    </row>
    <row r="194" spans="11:14" x14ac:dyDescent="0.55000000000000004">
      <c r="K194" s="3" t="s">
        <v>474</v>
      </c>
      <c r="L194" s="3">
        <v>0</v>
      </c>
      <c r="M194" s="2">
        <v>350</v>
      </c>
      <c r="N194" s="10">
        <f>Table6[[#This Row],[سعودي]]/Table6[[#This Row],[مجموع العمالة ]]</f>
        <v>0</v>
      </c>
    </row>
    <row r="195" spans="11:14" x14ac:dyDescent="0.55000000000000004">
      <c r="K195" s="3" t="s">
        <v>475</v>
      </c>
      <c r="L195" s="3">
        <v>0</v>
      </c>
      <c r="M195" s="2">
        <v>110</v>
      </c>
      <c r="N195" s="10">
        <f>Table6[[#This Row],[سعودي]]/Table6[[#This Row],[مجموع العمالة ]]</f>
        <v>0</v>
      </c>
    </row>
    <row r="196" spans="11:14" x14ac:dyDescent="0.55000000000000004">
      <c r="K196" s="3" t="s">
        <v>476</v>
      </c>
      <c r="L196" s="3">
        <v>0</v>
      </c>
      <c r="M196" s="2">
        <v>102</v>
      </c>
      <c r="N196" s="10">
        <f>Table6[[#This Row],[سعودي]]/Table6[[#This Row],[مجموع العمالة ]]</f>
        <v>0</v>
      </c>
    </row>
    <row r="197" spans="11:14" x14ac:dyDescent="0.55000000000000004">
      <c r="K197" s="3" t="s">
        <v>477</v>
      </c>
      <c r="L197" s="3">
        <v>0</v>
      </c>
      <c r="M197" s="2">
        <v>59</v>
      </c>
      <c r="N197" s="10">
        <f>Table6[[#This Row],[سعودي]]/Table6[[#This Row],[مجموع العمالة ]]</f>
        <v>0</v>
      </c>
    </row>
    <row r="198" spans="11:14" x14ac:dyDescent="0.55000000000000004">
      <c r="K198" s="3" t="s">
        <v>478</v>
      </c>
      <c r="L198" s="3">
        <v>0</v>
      </c>
      <c r="M198" s="2">
        <v>45</v>
      </c>
      <c r="N198" s="10">
        <f>Table6[[#This Row],[سعودي]]/Table6[[#This Row],[مجموع العمالة ]]</f>
        <v>0</v>
      </c>
    </row>
    <row r="199" spans="11:14" x14ac:dyDescent="0.55000000000000004">
      <c r="K199" s="3" t="s">
        <v>479</v>
      </c>
      <c r="L199" s="3">
        <v>0</v>
      </c>
      <c r="M199" s="2">
        <v>40</v>
      </c>
      <c r="N199" s="10">
        <f>Table6[[#This Row],[سعودي]]/Table6[[#This Row],[مجموع العمالة ]]</f>
        <v>0</v>
      </c>
    </row>
    <row r="200" spans="11:14" x14ac:dyDescent="0.55000000000000004">
      <c r="K200" s="3" t="s">
        <v>480</v>
      </c>
      <c r="L200" s="3">
        <v>0</v>
      </c>
      <c r="M200" s="2">
        <v>36</v>
      </c>
      <c r="N200" s="10">
        <f>Table6[[#This Row],[سعودي]]/Table6[[#This Row],[مجموع العمالة ]]</f>
        <v>0</v>
      </c>
    </row>
    <row r="201" spans="11:14" x14ac:dyDescent="0.55000000000000004">
      <c r="K201" s="3" t="s">
        <v>481</v>
      </c>
      <c r="L201" s="3">
        <v>0</v>
      </c>
      <c r="M201" s="2">
        <v>29</v>
      </c>
      <c r="N201" s="10">
        <f>Table6[[#This Row],[سعودي]]/Table6[[#This Row],[مجموع العمالة ]]</f>
        <v>0</v>
      </c>
    </row>
    <row r="202" spans="11:14" x14ac:dyDescent="0.55000000000000004">
      <c r="K202" s="3" t="s">
        <v>482</v>
      </c>
      <c r="L202" s="3">
        <v>0</v>
      </c>
      <c r="M202" s="2">
        <v>27</v>
      </c>
      <c r="N202" s="10">
        <f>Table6[[#This Row],[سعودي]]/Table6[[#This Row],[مجموع العمالة ]]</f>
        <v>0</v>
      </c>
    </row>
    <row r="203" spans="11:14" x14ac:dyDescent="0.55000000000000004">
      <c r="K203" s="3" t="s">
        <v>483</v>
      </c>
      <c r="L203" s="3">
        <v>0</v>
      </c>
      <c r="M203" s="2">
        <v>17</v>
      </c>
      <c r="N203" s="10">
        <f>Table6[[#This Row],[سعودي]]/Table6[[#This Row],[مجموع العمالة ]]</f>
        <v>0</v>
      </c>
    </row>
    <row r="204" spans="11:14" x14ac:dyDescent="0.55000000000000004">
      <c r="K204" s="3" t="s">
        <v>484</v>
      </c>
      <c r="L204" s="3">
        <v>0</v>
      </c>
      <c r="M204" s="2">
        <v>17</v>
      </c>
      <c r="N204" s="10">
        <f>Table6[[#This Row],[سعودي]]/Table6[[#This Row],[مجموع العمالة ]]</f>
        <v>0</v>
      </c>
    </row>
    <row r="205" spans="11:14" x14ac:dyDescent="0.55000000000000004">
      <c r="K205" s="3" t="s">
        <v>485</v>
      </c>
      <c r="L205" s="3">
        <v>0</v>
      </c>
      <c r="M205" s="2">
        <v>12</v>
      </c>
      <c r="N205" s="10">
        <f>Table6[[#This Row],[سعودي]]/Table6[[#This Row],[مجموع العمالة ]]</f>
        <v>0</v>
      </c>
    </row>
    <row r="206" spans="11:14" x14ac:dyDescent="0.55000000000000004">
      <c r="K206" s="3" t="s">
        <v>486</v>
      </c>
      <c r="L206" s="3">
        <v>0</v>
      </c>
      <c r="M206" s="2">
        <v>10</v>
      </c>
      <c r="N206" s="10">
        <f>Table6[[#This Row],[سعودي]]/Table6[[#This Row],[مجموع العمالة ]]</f>
        <v>0</v>
      </c>
    </row>
    <row r="207" spans="11:14" x14ac:dyDescent="0.55000000000000004">
      <c r="K207" s="3" t="s">
        <v>487</v>
      </c>
      <c r="L207" s="3">
        <v>0</v>
      </c>
      <c r="M207" s="2">
        <v>10</v>
      </c>
      <c r="N207" s="10">
        <f>Table6[[#This Row],[سعودي]]/Table6[[#This Row],[مجموع العمالة ]]</f>
        <v>0</v>
      </c>
    </row>
    <row r="208" spans="11:14" x14ac:dyDescent="0.55000000000000004">
      <c r="K208" s="3" t="s">
        <v>488</v>
      </c>
      <c r="L208" s="3">
        <v>0</v>
      </c>
      <c r="M208" s="2">
        <v>10</v>
      </c>
      <c r="N208" s="10">
        <f>Table6[[#This Row],[سعودي]]/Table6[[#This Row],[مجموع العمالة ]]</f>
        <v>0</v>
      </c>
    </row>
    <row r="209" spans="11:14" x14ac:dyDescent="0.55000000000000004">
      <c r="K209" s="3" t="s">
        <v>489</v>
      </c>
      <c r="L209" s="3">
        <v>0</v>
      </c>
      <c r="M209" s="2">
        <v>9</v>
      </c>
      <c r="N209" s="10">
        <f>Table6[[#This Row],[سعودي]]/Table6[[#This Row],[مجموع العمالة ]]</f>
        <v>0</v>
      </c>
    </row>
    <row r="210" spans="11:14" x14ac:dyDescent="0.55000000000000004">
      <c r="K210" s="3" t="s">
        <v>490</v>
      </c>
      <c r="L210" s="3">
        <v>0</v>
      </c>
      <c r="M210" s="2">
        <v>9</v>
      </c>
      <c r="N210" s="10">
        <f>Table6[[#This Row],[سعودي]]/Table6[[#This Row],[مجموع العمالة ]]</f>
        <v>0</v>
      </c>
    </row>
    <row r="211" spans="11:14" x14ac:dyDescent="0.55000000000000004">
      <c r="K211" s="3" t="s">
        <v>491</v>
      </c>
      <c r="L211" s="3">
        <v>0</v>
      </c>
      <c r="M211" s="2">
        <v>9</v>
      </c>
      <c r="N211" s="10">
        <f>Table6[[#This Row],[سعودي]]/Table6[[#This Row],[مجموع العمالة ]]</f>
        <v>0</v>
      </c>
    </row>
    <row r="212" spans="11:14" x14ac:dyDescent="0.55000000000000004">
      <c r="K212" s="3" t="s">
        <v>492</v>
      </c>
      <c r="L212" s="3">
        <v>0</v>
      </c>
      <c r="M212" s="2">
        <v>8</v>
      </c>
      <c r="N212" s="10">
        <f>Table6[[#This Row],[سعودي]]/Table6[[#This Row],[مجموع العمالة ]]</f>
        <v>0</v>
      </c>
    </row>
    <row r="213" spans="11:14" x14ac:dyDescent="0.55000000000000004">
      <c r="K213" s="3" t="s">
        <v>493</v>
      </c>
      <c r="L213" s="3">
        <v>0</v>
      </c>
      <c r="M213" s="2">
        <v>7</v>
      </c>
      <c r="N213" s="10">
        <f>Table6[[#This Row],[سعودي]]/Table6[[#This Row],[مجموع العمالة ]]</f>
        <v>0</v>
      </c>
    </row>
    <row r="214" spans="11:14" x14ac:dyDescent="0.55000000000000004">
      <c r="K214" s="3" t="s">
        <v>494</v>
      </c>
      <c r="L214" s="3">
        <v>0</v>
      </c>
      <c r="M214" s="2">
        <v>7</v>
      </c>
      <c r="N214" s="10">
        <f>Table6[[#This Row],[سعودي]]/Table6[[#This Row],[مجموع العمالة ]]</f>
        <v>0</v>
      </c>
    </row>
    <row r="215" spans="11:14" x14ac:dyDescent="0.55000000000000004">
      <c r="K215" s="3" t="s">
        <v>495</v>
      </c>
      <c r="L215" s="3">
        <v>0</v>
      </c>
      <c r="M215" s="2">
        <v>5</v>
      </c>
      <c r="N215" s="10">
        <f>Table6[[#This Row],[سعودي]]/Table6[[#This Row],[مجموع العمالة ]]</f>
        <v>0</v>
      </c>
    </row>
    <row r="216" spans="11:14" x14ac:dyDescent="0.55000000000000004">
      <c r="K216" s="3" t="s">
        <v>496</v>
      </c>
      <c r="L216" s="3">
        <v>0</v>
      </c>
      <c r="M216" s="2">
        <v>5</v>
      </c>
      <c r="N216" s="10">
        <f>Table6[[#This Row],[سعودي]]/Table6[[#This Row],[مجموع العمالة ]]</f>
        <v>0</v>
      </c>
    </row>
    <row r="217" spans="11:14" x14ac:dyDescent="0.55000000000000004">
      <c r="K217" s="3" t="s">
        <v>497</v>
      </c>
      <c r="L217" s="3">
        <v>0</v>
      </c>
      <c r="M217" s="2">
        <v>5</v>
      </c>
      <c r="N217" s="10">
        <f>Table6[[#This Row],[سعودي]]/Table6[[#This Row],[مجموع العمالة ]]</f>
        <v>0</v>
      </c>
    </row>
    <row r="218" spans="11:14" x14ac:dyDescent="0.55000000000000004">
      <c r="K218" s="3" t="s">
        <v>498</v>
      </c>
      <c r="L218" s="3">
        <v>0</v>
      </c>
      <c r="M218" s="2">
        <v>4</v>
      </c>
      <c r="N218" s="10">
        <f>Table6[[#This Row],[سعودي]]/Table6[[#This Row],[مجموع العمالة ]]</f>
        <v>0</v>
      </c>
    </row>
    <row r="219" spans="11:14" x14ac:dyDescent="0.55000000000000004">
      <c r="K219" s="3" t="s">
        <v>499</v>
      </c>
      <c r="L219" s="3">
        <v>0</v>
      </c>
      <c r="M219" s="2">
        <v>4</v>
      </c>
      <c r="N219" s="10">
        <f>Table6[[#This Row],[سعودي]]/Table6[[#This Row],[مجموع العمالة ]]</f>
        <v>0</v>
      </c>
    </row>
    <row r="220" spans="11:14" x14ac:dyDescent="0.55000000000000004">
      <c r="K220" s="3" t="s">
        <v>500</v>
      </c>
      <c r="L220" s="3">
        <v>0</v>
      </c>
      <c r="M220" s="2">
        <v>4</v>
      </c>
      <c r="N220" s="10">
        <f>Table6[[#This Row],[سعودي]]/Table6[[#This Row],[مجموع العمالة ]]</f>
        <v>0</v>
      </c>
    </row>
    <row r="221" spans="11:14" x14ac:dyDescent="0.55000000000000004">
      <c r="K221" s="3" t="s">
        <v>501</v>
      </c>
      <c r="L221" s="3">
        <v>0</v>
      </c>
      <c r="M221" s="2">
        <v>3</v>
      </c>
      <c r="N221" s="10">
        <f>Table6[[#This Row],[سعودي]]/Table6[[#This Row],[مجموع العمالة ]]</f>
        <v>0</v>
      </c>
    </row>
    <row r="222" spans="11:14" x14ac:dyDescent="0.55000000000000004">
      <c r="K222" s="3" t="s">
        <v>502</v>
      </c>
      <c r="L222" s="3">
        <v>0</v>
      </c>
      <c r="M222" s="2">
        <v>3</v>
      </c>
      <c r="N222" s="10">
        <f>Table6[[#This Row],[سعودي]]/Table6[[#This Row],[مجموع العمالة ]]</f>
        <v>0</v>
      </c>
    </row>
    <row r="223" spans="11:14" x14ac:dyDescent="0.55000000000000004">
      <c r="K223" s="3" t="s">
        <v>503</v>
      </c>
      <c r="L223" s="3">
        <v>0</v>
      </c>
      <c r="M223" s="2">
        <v>2</v>
      </c>
      <c r="N223" s="10">
        <f>Table6[[#This Row],[سعودي]]/Table6[[#This Row],[مجموع العمالة ]]</f>
        <v>0</v>
      </c>
    </row>
    <row r="224" spans="11:14" x14ac:dyDescent="0.55000000000000004">
      <c r="K224" s="3" t="s">
        <v>504</v>
      </c>
      <c r="L224" s="3">
        <v>0</v>
      </c>
      <c r="M224" s="2">
        <v>2</v>
      </c>
      <c r="N224" s="10">
        <f>Table6[[#This Row],[سعودي]]/Table6[[#This Row],[مجموع العمالة ]]</f>
        <v>0</v>
      </c>
    </row>
    <row r="225" spans="11:14" x14ac:dyDescent="0.55000000000000004">
      <c r="K225" s="3" t="s">
        <v>505</v>
      </c>
      <c r="L225" s="3">
        <v>0</v>
      </c>
      <c r="M225" s="2">
        <v>2</v>
      </c>
      <c r="N225" s="10">
        <f>Table6[[#This Row],[سعودي]]/Table6[[#This Row],[مجموع العمالة ]]</f>
        <v>0</v>
      </c>
    </row>
    <row r="226" spans="11:14" x14ac:dyDescent="0.55000000000000004">
      <c r="K226" s="3" t="s">
        <v>506</v>
      </c>
      <c r="L226" s="3">
        <v>0</v>
      </c>
      <c r="M226" s="2">
        <v>2</v>
      </c>
      <c r="N226" s="10">
        <f>Table6[[#This Row],[سعودي]]/Table6[[#This Row],[مجموع العمالة ]]</f>
        <v>0</v>
      </c>
    </row>
    <row r="227" spans="11:14" x14ac:dyDescent="0.55000000000000004">
      <c r="K227" s="3" t="s">
        <v>507</v>
      </c>
      <c r="L227" s="3">
        <v>0</v>
      </c>
      <c r="M227" s="2">
        <v>2</v>
      </c>
      <c r="N227" s="10">
        <f>Table6[[#This Row],[سعودي]]/Table6[[#This Row],[مجموع العمالة ]]</f>
        <v>0</v>
      </c>
    </row>
    <row r="228" spans="11:14" x14ac:dyDescent="0.55000000000000004">
      <c r="K228" s="3" t="s">
        <v>508</v>
      </c>
      <c r="L228" s="3">
        <v>0</v>
      </c>
      <c r="M228" s="2">
        <v>1</v>
      </c>
      <c r="N228" s="10">
        <f>Table6[[#This Row],[سعودي]]/Table6[[#This Row],[مجموع العمالة ]]</f>
        <v>0</v>
      </c>
    </row>
    <row r="229" spans="11:14" x14ac:dyDescent="0.55000000000000004">
      <c r="K229" s="3" t="s">
        <v>509</v>
      </c>
      <c r="L229" s="3">
        <v>0</v>
      </c>
      <c r="M229" s="2">
        <v>1</v>
      </c>
      <c r="N229" s="10">
        <f>Table6[[#This Row],[سعودي]]/Table6[[#This Row],[مجموع العمالة ]]</f>
        <v>0</v>
      </c>
    </row>
    <row r="230" spans="11:14" x14ac:dyDescent="0.55000000000000004">
      <c r="K230" s="3" t="s">
        <v>510</v>
      </c>
      <c r="L230" s="3">
        <v>0</v>
      </c>
      <c r="M230" s="2">
        <v>1</v>
      </c>
      <c r="N230" s="10">
        <f>Table6[[#This Row],[سعودي]]/Table6[[#This Row],[مجموع العمالة ]]</f>
        <v>0</v>
      </c>
    </row>
    <row r="231" spans="11:14" x14ac:dyDescent="0.55000000000000004">
      <c r="K231" s="3" t="s">
        <v>511</v>
      </c>
      <c r="L231" s="3">
        <v>0</v>
      </c>
      <c r="M231" s="11">
        <v>1</v>
      </c>
      <c r="N231" s="10">
        <f>Table6[[#This Row],[سعودي]]/Table6[[#This Row],[مجموع العمالة ]]</f>
        <v>0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Shroog Ahmad Altoaimy</dc:creator>
  <cp:lastModifiedBy>ABEER HUSSAIN ALGAILAN</cp:lastModifiedBy>
  <dcterms:created xsi:type="dcterms:W3CDTF">2015-06-05T18:17:20Z</dcterms:created>
  <dcterms:modified xsi:type="dcterms:W3CDTF">2026-09-14T13:46:29Z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{"SDAIA Prod (13321f8d8c87e854b1551854ccf32fa5c98d6cfa)":{"ClassificationDisplayName":"Public - عام","ClassificationMode":"ClassificationMode_UserDriven","LabelId":"100022","Version":"1"}}</vt:lpwstr>
  </property>
  <property fmtid="{D5CDD505-2E9C-101B-9397-08002B2CF9AE}" pid="3" name="SecloreClassificationDisplayName_13321f8d8c87e854b1551854ccf32fa5c98d6cfa">
    <vt:lpwstr>Public - عام</vt:lpwstr>
  </property>
</Properties>
</file>